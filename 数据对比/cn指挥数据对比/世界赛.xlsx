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数据对比\"/>
    </mc:Choice>
  </mc:AlternateContent>
  <xr:revisionPtr revIDLastSave="0" documentId="13_ncr:1_{A5AA0C28-CEFA-45DA-B1EB-54FF401BB2E6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3" i="1" l="1"/>
  <c r="N60" i="1"/>
  <c r="N56" i="1"/>
  <c r="J63" i="1"/>
  <c r="J60" i="1"/>
  <c r="J56" i="1"/>
  <c r="J53" i="1"/>
  <c r="N53" i="1"/>
  <c r="N49" i="1"/>
  <c r="N42" i="1"/>
  <c r="N33" i="1"/>
  <c r="N34" i="1"/>
  <c r="N32" i="1"/>
  <c r="N31" i="1"/>
  <c r="N30" i="1"/>
  <c r="J42" i="1"/>
  <c r="J34" i="1"/>
  <c r="J33" i="1"/>
  <c r="J32" i="1"/>
  <c r="J31" i="1"/>
  <c r="J30" i="1"/>
  <c r="J27" i="1"/>
  <c r="J26" i="1"/>
  <c r="J25" i="1"/>
  <c r="J23" i="1"/>
  <c r="J19" i="1"/>
  <c r="J16" i="1"/>
  <c r="J12" i="1"/>
  <c r="J11" i="1"/>
  <c r="J10" i="1"/>
  <c r="J9" i="1"/>
  <c r="N26" i="1"/>
  <c r="N27" i="1"/>
  <c r="N25" i="1"/>
  <c r="N23" i="1"/>
  <c r="N19" i="1"/>
  <c r="N16" i="1"/>
  <c r="N12" i="1"/>
  <c r="N11" i="1"/>
  <c r="N10" i="1"/>
  <c r="N9" i="1"/>
  <c r="N5" i="1"/>
  <c r="N3" i="1"/>
  <c r="N2" i="1"/>
  <c r="J5" i="1"/>
  <c r="J3" i="1"/>
  <c r="M56" i="1"/>
  <c r="M63" i="1"/>
  <c r="M34" i="1" l="1"/>
  <c r="M27" i="1"/>
  <c r="J2" i="1" l="1"/>
  <c r="M49" i="1" l="1"/>
  <c r="J49" i="1"/>
  <c r="M42" i="1" l="1"/>
  <c r="M33" i="1"/>
  <c r="M26" i="1"/>
  <c r="M19" i="1"/>
  <c r="M12" i="1"/>
  <c r="M5" i="1"/>
</calcChain>
</file>

<file path=xl/sharedStrings.xml><?xml version="1.0" encoding="utf-8"?>
<sst xmlns="http://schemas.openxmlformats.org/spreadsheetml/2006/main" count="588" uniqueCount="32">
  <si>
    <t>选手</t>
    <phoneticPr fontId="1" type="noConversion"/>
  </si>
  <si>
    <t>比赛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</si>
  <si>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</si>
  <si>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</si>
  <si>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</si>
  <si>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</si>
  <si>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</si>
  <si>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</si>
  <si>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</si>
  <si>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</si>
  <si>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</si>
  <si>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</si>
  <si>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</si>
  <si>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</si>
  <si>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</si>
  <si>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</si>
  <si>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</si>
  <si>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Y5-Championship</t>
    <phoneticPr fontId="1" type="noConversion"/>
  </si>
  <si>
    <t>Y5-S1 Open</t>
    <phoneticPr fontId="1" type="noConversion"/>
  </si>
  <si>
    <t>Y4-Championship</t>
    <phoneticPr fontId="1" type="noConversion"/>
  </si>
  <si>
    <t>CrazyCong</t>
    <phoneticPr fontId="1" type="noConversion"/>
  </si>
  <si>
    <t>Kassa</t>
    <phoneticPr fontId="1" type="noConversion"/>
  </si>
  <si>
    <t>3mz</t>
    <phoneticPr fontId="1" type="noConversion"/>
  </si>
  <si>
    <t>xd</t>
    <phoneticPr fontId="1" type="noConversion"/>
  </si>
  <si>
    <t>Jacky</t>
    <phoneticPr fontId="1" type="noConversion"/>
  </si>
  <si>
    <t>Mingyue</t>
    <phoneticPr fontId="1" type="noConversion"/>
  </si>
  <si>
    <t>Y4-S1 Playoffs</t>
    <phoneticPr fontId="1" type="noConversion"/>
  </si>
  <si>
    <t>Y4-S1 EWC</t>
    <phoneticPr fontId="1" type="noConversion"/>
  </si>
  <si>
    <t>*</t>
  </si>
  <si>
    <t>*</t>
    <phoneticPr fontId="1" type="noConversion"/>
  </si>
  <si>
    <t>Y3-Championship</t>
    <phoneticPr fontId="1" type="noConversion"/>
  </si>
  <si>
    <t>Y3-S2 Playoffs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</si>
</sst>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5" formatCode="[Color13][&gt;2.4]0.00;[Color3][&lt;1.2]0.00;[Color10]0.00"/>
    <numFmt numFmtId="186" formatCode="[Color13][&gt;650]0.00;[Color3][&lt;350]0.00;[Color10]0.00"/>
    <numFmt numFmtId="189" formatCode="[Color13][&gt;0.6]0.0%;[Color3][&lt;0.4]0.0%;[Color10]0.0%"/>
    <numFmt numFmtId="190" formatCode="[Color13][&gt;0.16]0.0%;[Color3][&lt;0.24]0.0%;[Color10]0.0%"/>
    <numFmt numFmtId="192" formatCode="[Color13][&lt;21]0;[Color3][&gt;30]0;[Color10]0"/>
    <numFmt numFmtId="193" formatCode="[Color13][&gt;600]0.00;[Color3][&lt;350]0.00;[Color10]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9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zoomScaleNormal="100" workbookViewId="0">
      <selection activeCell="S6" sqref="S6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2" t="s">
        <v>1</v>
      </c>
      <c r="B1" s="12"/>
      <c r="C1" s="12"/>
      <c r="D1" s="9" t="s">
        <v>0</v>
      </c>
      <c r="E1" s="9" t="s">
        <v>2</v>
      </c>
      <c r="F1" s="9" t="s">
        <v>13</v>
      </c>
      <c r="G1" s="9" t="s">
        <v>3</v>
      </c>
      <c r="H1" s="9" t="s">
        <v>4</v>
      </c>
      <c r="I1" s="9" t="s">
        <v>11</v>
      </c>
      <c r="J1" s="9" t="s">
        <v>12</v>
      </c>
      <c r="K1" s="9" t="s">
        <v>5</v>
      </c>
      <c r="L1" s="9" t="s">
        <v>6</v>
      </c>
      <c r="M1" s="9" t="s">
        <v>7</v>
      </c>
      <c r="N1" s="9" t="s">
        <v>14</v>
      </c>
      <c r="O1" s="9" t="s">
        <v>9</v>
      </c>
      <c r="P1" s="9" t="s">
        <v>8</v>
      </c>
      <c r="Q1" s="9" t="s">
        <v>10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2" t="s">
        <v>17</v>
      </c>
      <c r="B2" s="12"/>
      <c r="C2" s="12"/>
      <c r="D2" s="9" t="s">
        <v>21</v>
      </c>
      <c r="E2" s="17">
        <v>25</v>
      </c>
      <c r="F2" s="10">
        <v>30</v>
      </c>
      <c r="G2" s="10">
        <v>17</v>
      </c>
      <c r="H2" s="10">
        <v>21</v>
      </c>
      <c r="I2" s="10">
        <v>35</v>
      </c>
      <c r="J2" s="13">
        <f>(G2+H2)/I2</f>
        <v>1.0857142857142856</v>
      </c>
      <c r="K2" s="10">
        <v>15917</v>
      </c>
      <c r="L2" s="10">
        <v>19533</v>
      </c>
      <c r="M2" s="10">
        <v>-3616</v>
      </c>
      <c r="N2" s="18">
        <f>K2/F2</f>
        <v>530.56666666666672</v>
      </c>
      <c r="O2" s="15">
        <v>0.433</v>
      </c>
      <c r="P2" s="15">
        <v>0.38500000000000001</v>
      </c>
      <c r="Q2" s="16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2"/>
      <c r="B3" s="12"/>
      <c r="C3" s="12"/>
      <c r="D3" s="9" t="s">
        <v>20</v>
      </c>
      <c r="E3" s="17">
        <v>23</v>
      </c>
      <c r="F3" s="9">
        <v>30</v>
      </c>
      <c r="G3" s="9">
        <v>13</v>
      </c>
      <c r="H3" s="9">
        <v>20</v>
      </c>
      <c r="I3" s="9">
        <v>31</v>
      </c>
      <c r="J3" s="13">
        <f>(G3+H3)/I3</f>
        <v>1.064516129032258</v>
      </c>
      <c r="K3" s="9">
        <v>14668</v>
      </c>
      <c r="L3" s="9">
        <v>15865</v>
      </c>
      <c r="M3" s="9">
        <v>-1197</v>
      </c>
      <c r="N3" s="18">
        <f>K3/F3</f>
        <v>488.93333333333334</v>
      </c>
      <c r="O3" s="15">
        <v>0.5</v>
      </c>
      <c r="P3" s="15">
        <v>0.66700000000000004</v>
      </c>
      <c r="Q3" s="16">
        <v>0.1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2"/>
      <c r="B4" s="12"/>
      <c r="C4" s="12"/>
      <c r="D4" s="9" t="s">
        <v>22</v>
      </c>
      <c r="E4" s="17" t="s">
        <v>28</v>
      </c>
      <c r="F4" s="11" t="s">
        <v>28</v>
      </c>
      <c r="G4" s="11" t="s">
        <v>28</v>
      </c>
      <c r="H4" s="11" t="s">
        <v>28</v>
      </c>
      <c r="I4" s="11" t="s">
        <v>28</v>
      </c>
      <c r="J4" s="13" t="s">
        <v>28</v>
      </c>
      <c r="K4" s="11" t="s">
        <v>28</v>
      </c>
      <c r="L4" s="11" t="s">
        <v>28</v>
      </c>
      <c r="M4" s="11" t="s">
        <v>28</v>
      </c>
      <c r="N4" s="18" t="s">
        <v>28</v>
      </c>
      <c r="O4" s="15" t="s">
        <v>28</v>
      </c>
      <c r="P4" s="15" t="s">
        <v>28</v>
      </c>
      <c r="Q4" s="16" t="s">
        <v>28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0" customHeight="1" x14ac:dyDescent="0.25">
      <c r="A5" s="12"/>
      <c r="B5" s="12"/>
      <c r="C5" s="12"/>
      <c r="D5" s="11" t="s">
        <v>23</v>
      </c>
      <c r="E5" s="17">
        <v>40</v>
      </c>
      <c r="F5" s="11">
        <v>24</v>
      </c>
      <c r="G5" s="11">
        <v>3</v>
      </c>
      <c r="H5" s="11">
        <v>11</v>
      </c>
      <c r="I5" s="11">
        <v>24</v>
      </c>
      <c r="J5" s="13">
        <f>(G5+H5)/I5</f>
        <v>0.58333333333333337</v>
      </c>
      <c r="K5" s="11">
        <v>12794</v>
      </c>
      <c r="L5" s="11">
        <v>17451</v>
      </c>
      <c r="M5" s="11">
        <f t="shared" ref="M5:M7" si="0">K5-L5</f>
        <v>-4657</v>
      </c>
      <c r="N5" s="18">
        <f>K5/F5</f>
        <v>533.08333333333337</v>
      </c>
      <c r="O5" s="15">
        <v>0.25</v>
      </c>
      <c r="P5" s="15">
        <v>0.66700000000000004</v>
      </c>
      <c r="Q5" s="16">
        <v>0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20" customHeight="1" x14ac:dyDescent="0.25">
      <c r="A6" s="12"/>
      <c r="B6" s="12"/>
      <c r="C6" s="12"/>
      <c r="D6" s="11" t="s">
        <v>24</v>
      </c>
      <c r="E6" s="17" t="s">
        <v>28</v>
      </c>
      <c r="F6" s="11" t="s">
        <v>28</v>
      </c>
      <c r="G6" s="11" t="s">
        <v>28</v>
      </c>
      <c r="H6" s="11" t="s">
        <v>28</v>
      </c>
      <c r="I6" s="11" t="s">
        <v>28</v>
      </c>
      <c r="J6" s="13" t="s">
        <v>28</v>
      </c>
      <c r="K6" s="11" t="s">
        <v>28</v>
      </c>
      <c r="L6" s="11" t="s">
        <v>28</v>
      </c>
      <c r="M6" s="11" t="s">
        <v>28</v>
      </c>
      <c r="N6" s="18" t="s">
        <v>28</v>
      </c>
      <c r="O6" s="15" t="s">
        <v>28</v>
      </c>
      <c r="P6" s="15" t="s">
        <v>28</v>
      </c>
      <c r="Q6" s="16" t="s">
        <v>28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20" customHeight="1" x14ac:dyDescent="0.25">
      <c r="A7" s="12"/>
      <c r="B7" s="12"/>
      <c r="C7" s="12"/>
      <c r="D7" s="11" t="s">
        <v>25</v>
      </c>
      <c r="E7" s="17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3" t="s">
        <v>28</v>
      </c>
      <c r="K7" s="11" t="s">
        <v>28</v>
      </c>
      <c r="L7" s="11" t="s">
        <v>28</v>
      </c>
      <c r="M7" s="11" t="s">
        <v>28</v>
      </c>
      <c r="N7" s="18" t="s">
        <v>28</v>
      </c>
      <c r="O7" s="15" t="s">
        <v>28</v>
      </c>
      <c r="P7" s="15" t="s">
        <v>28</v>
      </c>
      <c r="Q7" s="16" t="s">
        <v>28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39.950000000000003" customHeight="1" x14ac:dyDescent="0.25">
      <c r="A8" s="12" t="s">
        <v>1</v>
      </c>
      <c r="B8" s="12"/>
      <c r="C8" s="12"/>
      <c r="D8" s="11" t="s">
        <v>0</v>
      </c>
      <c r="E8" s="11" t="s">
        <v>2</v>
      </c>
      <c r="F8" s="11" t="s">
        <v>13</v>
      </c>
      <c r="G8" s="11" t="s">
        <v>3</v>
      </c>
      <c r="H8" s="11" t="s">
        <v>4</v>
      </c>
      <c r="I8" s="11" t="s">
        <v>11</v>
      </c>
      <c r="J8" s="11" t="s">
        <v>12</v>
      </c>
      <c r="K8" s="11" t="s">
        <v>5</v>
      </c>
      <c r="L8" s="11" t="s">
        <v>6</v>
      </c>
      <c r="M8" s="11" t="s">
        <v>7</v>
      </c>
      <c r="N8" s="11" t="s">
        <v>14</v>
      </c>
      <c r="O8" s="11" t="s">
        <v>9</v>
      </c>
      <c r="P8" s="11" t="s">
        <v>8</v>
      </c>
      <c r="Q8" s="11" t="s">
        <v>10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20" customHeight="1" x14ac:dyDescent="0.25">
      <c r="A9" s="12" t="s">
        <v>15</v>
      </c>
      <c r="B9" s="12"/>
      <c r="C9" s="12"/>
      <c r="D9" s="11" t="s">
        <v>21</v>
      </c>
      <c r="E9" s="17">
        <v>1</v>
      </c>
      <c r="F9" s="11">
        <v>19</v>
      </c>
      <c r="G9" s="11">
        <v>23</v>
      </c>
      <c r="H9" s="11">
        <v>27</v>
      </c>
      <c r="I9" s="11">
        <v>16</v>
      </c>
      <c r="J9" s="13">
        <f>(G9+H9)/I9</f>
        <v>3.125</v>
      </c>
      <c r="K9" s="11">
        <v>13896</v>
      </c>
      <c r="L9" s="11">
        <v>13984</v>
      </c>
      <c r="M9" s="11">
        <v>-88</v>
      </c>
      <c r="N9" s="18">
        <f>K9/F9</f>
        <v>731.36842105263156</v>
      </c>
      <c r="O9" s="15">
        <v>0.73699999999999999</v>
      </c>
      <c r="P9" s="15">
        <v>0.64300000000000002</v>
      </c>
      <c r="Q9" s="16">
        <v>0.33300000000000002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20" customHeight="1" x14ac:dyDescent="0.25">
      <c r="A10" s="12"/>
      <c r="B10" s="12"/>
      <c r="C10" s="12"/>
      <c r="D10" s="11" t="s">
        <v>20</v>
      </c>
      <c r="E10" s="17">
        <v>5</v>
      </c>
      <c r="F10" s="11">
        <v>19</v>
      </c>
      <c r="G10" s="11">
        <v>12</v>
      </c>
      <c r="H10" s="11">
        <v>22</v>
      </c>
      <c r="I10" s="11">
        <v>18</v>
      </c>
      <c r="J10" s="13">
        <f>(G10+H10)/I10</f>
        <v>1.8888888888888888</v>
      </c>
      <c r="K10" s="11">
        <v>8042</v>
      </c>
      <c r="L10" s="11">
        <v>11394</v>
      </c>
      <c r="M10" s="11">
        <v>-3352</v>
      </c>
      <c r="N10" s="18">
        <f>K10/F10</f>
        <v>423.26315789473682</v>
      </c>
      <c r="O10" s="15">
        <v>0.63200000000000001</v>
      </c>
      <c r="P10" s="15">
        <v>0.83299999999999996</v>
      </c>
      <c r="Q10" s="16">
        <v>0.1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20" customHeight="1" x14ac:dyDescent="0.25">
      <c r="A11" s="12"/>
      <c r="B11" s="12"/>
      <c r="C11" s="12"/>
      <c r="D11" s="11" t="s">
        <v>22</v>
      </c>
      <c r="E11" s="17">
        <v>37</v>
      </c>
      <c r="F11" s="11">
        <v>10</v>
      </c>
      <c r="G11" s="11">
        <v>3</v>
      </c>
      <c r="H11" s="11">
        <v>8</v>
      </c>
      <c r="I11" s="11">
        <v>10</v>
      </c>
      <c r="J11" s="13">
        <f>(G11+H11)/I11</f>
        <v>1.1000000000000001</v>
      </c>
      <c r="K11" s="11">
        <v>2714</v>
      </c>
      <c r="L11" s="11">
        <v>3747</v>
      </c>
      <c r="M11" s="11">
        <v>-1033</v>
      </c>
      <c r="N11" s="18">
        <f>K11/F11</f>
        <v>271.39999999999998</v>
      </c>
      <c r="O11" s="15">
        <v>0.3</v>
      </c>
      <c r="P11" s="15">
        <v>1</v>
      </c>
      <c r="Q11" s="16"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20" customHeight="1" x14ac:dyDescent="0.25">
      <c r="A12" s="12"/>
      <c r="B12" s="12"/>
      <c r="C12" s="12"/>
      <c r="D12" s="11" t="s">
        <v>23</v>
      </c>
      <c r="E12" s="17">
        <v>30</v>
      </c>
      <c r="F12" s="11">
        <v>20</v>
      </c>
      <c r="G12" s="11">
        <v>10</v>
      </c>
      <c r="H12" s="11">
        <v>22</v>
      </c>
      <c r="I12" s="11">
        <v>23</v>
      </c>
      <c r="J12" s="13">
        <f>(G12+H12)/I12</f>
        <v>1.3913043478260869</v>
      </c>
      <c r="K12" s="11">
        <v>12276</v>
      </c>
      <c r="L12" s="11">
        <v>13224</v>
      </c>
      <c r="M12" s="11">
        <f t="shared" ref="M12:M14" si="1">K12-L12</f>
        <v>-948</v>
      </c>
      <c r="N12" s="18">
        <f>K12/F12</f>
        <v>613.79999999999995</v>
      </c>
      <c r="O12" s="15">
        <v>0.45</v>
      </c>
      <c r="P12" s="15">
        <v>0.33300000000000002</v>
      </c>
      <c r="Q12" s="16"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20" customHeight="1" x14ac:dyDescent="0.25">
      <c r="A13" s="12"/>
      <c r="B13" s="12"/>
      <c r="C13" s="12"/>
      <c r="D13" s="11" t="s">
        <v>24</v>
      </c>
      <c r="E13" s="17" t="s">
        <v>28</v>
      </c>
      <c r="F13" s="11" t="s">
        <v>28</v>
      </c>
      <c r="G13" s="11" t="s">
        <v>28</v>
      </c>
      <c r="H13" s="11" t="s">
        <v>28</v>
      </c>
      <c r="I13" s="11" t="s">
        <v>28</v>
      </c>
      <c r="J13" s="13" t="s">
        <v>28</v>
      </c>
      <c r="K13" s="11" t="s">
        <v>28</v>
      </c>
      <c r="L13" s="11" t="s">
        <v>28</v>
      </c>
      <c r="M13" s="11" t="s">
        <v>28</v>
      </c>
      <c r="N13" s="18" t="s">
        <v>28</v>
      </c>
      <c r="O13" s="15" t="s">
        <v>28</v>
      </c>
      <c r="P13" s="15" t="s">
        <v>28</v>
      </c>
      <c r="Q13" s="16" t="s">
        <v>28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20" customHeight="1" x14ac:dyDescent="0.25">
      <c r="A14" s="12"/>
      <c r="B14" s="12"/>
      <c r="C14" s="12"/>
      <c r="D14" s="11" t="s">
        <v>25</v>
      </c>
      <c r="E14" s="17" t="s">
        <v>28</v>
      </c>
      <c r="F14" s="11" t="s">
        <v>28</v>
      </c>
      <c r="G14" s="11" t="s">
        <v>28</v>
      </c>
      <c r="H14" s="11" t="s">
        <v>28</v>
      </c>
      <c r="I14" s="11" t="s">
        <v>28</v>
      </c>
      <c r="J14" s="13" t="s">
        <v>28</v>
      </c>
      <c r="K14" s="11" t="s">
        <v>28</v>
      </c>
      <c r="L14" s="11" t="s">
        <v>28</v>
      </c>
      <c r="M14" s="11" t="s">
        <v>28</v>
      </c>
      <c r="N14" s="18" t="s">
        <v>28</v>
      </c>
      <c r="O14" s="15" t="s">
        <v>28</v>
      </c>
      <c r="P14" s="15" t="s">
        <v>28</v>
      </c>
      <c r="Q14" s="16" t="s">
        <v>28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39.950000000000003" customHeight="1" x14ac:dyDescent="0.25">
      <c r="A15" s="12" t="s">
        <v>1</v>
      </c>
      <c r="B15" s="12"/>
      <c r="C15" s="12"/>
      <c r="D15" s="11" t="s">
        <v>0</v>
      </c>
      <c r="E15" s="11" t="s">
        <v>2</v>
      </c>
      <c r="F15" s="11" t="s">
        <v>13</v>
      </c>
      <c r="G15" s="11" t="s">
        <v>3</v>
      </c>
      <c r="H15" s="11" t="s">
        <v>4</v>
      </c>
      <c r="I15" s="11" t="s">
        <v>11</v>
      </c>
      <c r="J15" s="11" t="s">
        <v>12</v>
      </c>
      <c r="K15" s="11" t="s">
        <v>5</v>
      </c>
      <c r="L15" s="11" t="s">
        <v>6</v>
      </c>
      <c r="M15" s="11" t="s">
        <v>7</v>
      </c>
      <c r="N15" s="11" t="s">
        <v>14</v>
      </c>
      <c r="O15" s="11" t="s">
        <v>9</v>
      </c>
      <c r="P15" s="11" t="s">
        <v>8</v>
      </c>
      <c r="Q15" s="11" t="s">
        <v>10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20" customHeight="1" x14ac:dyDescent="0.25">
      <c r="A16" s="12" t="s">
        <v>18</v>
      </c>
      <c r="B16" s="12"/>
      <c r="C16" s="12"/>
      <c r="D16" s="11" t="s">
        <v>21</v>
      </c>
      <c r="E16" s="17">
        <v>17</v>
      </c>
      <c r="F16" s="11">
        <v>36</v>
      </c>
      <c r="G16" s="11">
        <v>32</v>
      </c>
      <c r="H16" s="11">
        <v>36</v>
      </c>
      <c r="I16" s="11">
        <v>45</v>
      </c>
      <c r="J16" s="13">
        <f>(G16+H16)/I16</f>
        <v>1.5111111111111111</v>
      </c>
      <c r="K16" s="11">
        <v>21875</v>
      </c>
      <c r="L16" s="11">
        <v>28142</v>
      </c>
      <c r="M16" s="11">
        <v>-6267</v>
      </c>
      <c r="N16" s="18">
        <f>K16/F16</f>
        <v>607.63888888888891</v>
      </c>
      <c r="O16" s="15">
        <v>0.63900000000000001</v>
      </c>
      <c r="P16" s="15">
        <v>0.65200000000000002</v>
      </c>
      <c r="Q16" s="16">
        <v>0.13300000000000001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20" customHeight="1" x14ac:dyDescent="0.25">
      <c r="A17" s="12"/>
      <c r="B17" s="12"/>
      <c r="C17" s="12"/>
      <c r="D17" s="11" t="s">
        <v>20</v>
      </c>
      <c r="E17" s="17" t="s">
        <v>28</v>
      </c>
      <c r="F17" s="11" t="s">
        <v>28</v>
      </c>
      <c r="G17" s="11" t="s">
        <v>28</v>
      </c>
      <c r="H17" s="11" t="s">
        <v>28</v>
      </c>
      <c r="I17" s="11" t="s">
        <v>28</v>
      </c>
      <c r="J17" s="13" t="s">
        <v>28</v>
      </c>
      <c r="K17" s="11" t="s">
        <v>28</v>
      </c>
      <c r="L17" s="11" t="s">
        <v>28</v>
      </c>
      <c r="M17" s="11" t="s">
        <v>28</v>
      </c>
      <c r="N17" s="18" t="s">
        <v>28</v>
      </c>
      <c r="O17" s="15" t="s">
        <v>28</v>
      </c>
      <c r="P17" s="15" t="s">
        <v>28</v>
      </c>
      <c r="Q17" s="16" t="s">
        <v>28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20" customHeight="1" x14ac:dyDescent="0.25">
      <c r="A18" s="12"/>
      <c r="B18" s="12"/>
      <c r="C18" s="12"/>
      <c r="D18" s="11" t="s">
        <v>22</v>
      </c>
      <c r="E18" s="17" t="s">
        <v>28</v>
      </c>
      <c r="F18" s="11" t="s">
        <v>28</v>
      </c>
      <c r="G18" s="11" t="s">
        <v>28</v>
      </c>
      <c r="H18" s="11" t="s">
        <v>28</v>
      </c>
      <c r="I18" s="11" t="s">
        <v>28</v>
      </c>
      <c r="J18" s="13" t="s">
        <v>28</v>
      </c>
      <c r="K18" s="11" t="s">
        <v>28</v>
      </c>
      <c r="L18" s="11" t="s">
        <v>28</v>
      </c>
      <c r="M18" s="11" t="s">
        <v>28</v>
      </c>
      <c r="N18" s="18" t="s">
        <v>28</v>
      </c>
      <c r="O18" s="15" t="s">
        <v>28</v>
      </c>
      <c r="P18" s="15" t="s">
        <v>28</v>
      </c>
      <c r="Q18" s="16" t="s">
        <v>28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20" customHeight="1" x14ac:dyDescent="0.25">
      <c r="A19" s="12"/>
      <c r="B19" s="12"/>
      <c r="C19" s="12"/>
      <c r="D19" s="11" t="s">
        <v>23</v>
      </c>
      <c r="E19" s="17">
        <v>56</v>
      </c>
      <c r="F19" s="11">
        <v>30</v>
      </c>
      <c r="G19" s="11">
        <v>16</v>
      </c>
      <c r="H19" s="11">
        <v>70</v>
      </c>
      <c r="I19" s="11">
        <v>29</v>
      </c>
      <c r="J19" s="13">
        <f>(G19+H19)/I19</f>
        <v>2.9655172413793105</v>
      </c>
      <c r="K19" s="11">
        <v>15090</v>
      </c>
      <c r="L19" s="11">
        <v>13600</v>
      </c>
      <c r="M19" s="11">
        <f t="shared" ref="M19:M21" si="2">K19-L19</f>
        <v>1490</v>
      </c>
      <c r="N19" s="18">
        <f>K19/F19</f>
        <v>503</v>
      </c>
      <c r="O19" s="15">
        <v>0.56699999999999995</v>
      </c>
      <c r="P19" s="15">
        <v>0.52900000000000003</v>
      </c>
      <c r="Q19" s="16">
        <v>0.33300000000000002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20" customHeight="1" x14ac:dyDescent="0.25">
      <c r="A20" s="12"/>
      <c r="B20" s="12"/>
      <c r="C20" s="12"/>
      <c r="D20" s="11" t="s">
        <v>24</v>
      </c>
      <c r="E20" s="17" t="s">
        <v>28</v>
      </c>
      <c r="F20" s="11" t="s">
        <v>28</v>
      </c>
      <c r="G20" s="11" t="s">
        <v>28</v>
      </c>
      <c r="H20" s="11" t="s">
        <v>28</v>
      </c>
      <c r="I20" s="11" t="s">
        <v>28</v>
      </c>
      <c r="J20" s="13" t="s">
        <v>28</v>
      </c>
      <c r="K20" s="11" t="s">
        <v>28</v>
      </c>
      <c r="L20" s="11" t="s">
        <v>28</v>
      </c>
      <c r="M20" s="11" t="s">
        <v>28</v>
      </c>
      <c r="N20" s="18" t="s">
        <v>28</v>
      </c>
      <c r="O20" s="15" t="s">
        <v>28</v>
      </c>
      <c r="P20" s="15" t="s">
        <v>28</v>
      </c>
      <c r="Q20" s="16" t="s">
        <v>28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20" customHeight="1" x14ac:dyDescent="0.25">
      <c r="A21" s="12"/>
      <c r="B21" s="12"/>
      <c r="C21" s="12"/>
      <c r="D21" s="11" t="s">
        <v>25</v>
      </c>
      <c r="E21" s="17" t="s">
        <v>28</v>
      </c>
      <c r="F21" s="11" t="s">
        <v>28</v>
      </c>
      <c r="G21" s="11" t="s">
        <v>28</v>
      </c>
      <c r="H21" s="11" t="s">
        <v>28</v>
      </c>
      <c r="I21" s="11" t="s">
        <v>28</v>
      </c>
      <c r="J21" s="13" t="s">
        <v>28</v>
      </c>
      <c r="K21" s="11" t="s">
        <v>28</v>
      </c>
      <c r="L21" s="11" t="s">
        <v>28</v>
      </c>
      <c r="M21" s="11" t="s">
        <v>28</v>
      </c>
      <c r="N21" s="18" t="s">
        <v>28</v>
      </c>
      <c r="O21" s="15" t="s">
        <v>28</v>
      </c>
      <c r="P21" s="15" t="s">
        <v>28</v>
      </c>
      <c r="Q21" s="16" t="s">
        <v>28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39.950000000000003" customHeight="1" x14ac:dyDescent="0.25">
      <c r="A22" s="12" t="s">
        <v>1</v>
      </c>
      <c r="B22" s="12"/>
      <c r="C22" s="12"/>
      <c r="D22" s="11" t="s">
        <v>0</v>
      </c>
      <c r="E22" s="11" t="s">
        <v>2</v>
      </c>
      <c r="F22" s="11" t="s">
        <v>13</v>
      </c>
      <c r="G22" s="11" t="s">
        <v>3</v>
      </c>
      <c r="H22" s="11" t="s">
        <v>4</v>
      </c>
      <c r="I22" s="11" t="s">
        <v>11</v>
      </c>
      <c r="J22" s="11" t="s">
        <v>12</v>
      </c>
      <c r="K22" s="11" t="s">
        <v>5</v>
      </c>
      <c r="L22" s="11" t="s">
        <v>6</v>
      </c>
      <c r="M22" s="11" t="s">
        <v>7</v>
      </c>
      <c r="N22" s="11" t="s">
        <v>14</v>
      </c>
      <c r="O22" s="11" t="s">
        <v>9</v>
      </c>
      <c r="P22" s="11" t="s">
        <v>8</v>
      </c>
      <c r="Q22" s="11" t="s">
        <v>10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20" customHeight="1" x14ac:dyDescent="0.25">
      <c r="A23" s="12" t="s">
        <v>19</v>
      </c>
      <c r="B23" s="12"/>
      <c r="C23" s="12"/>
      <c r="D23" s="11" t="s">
        <v>21</v>
      </c>
      <c r="E23" s="17">
        <v>9</v>
      </c>
      <c r="F23" s="11">
        <v>43</v>
      </c>
      <c r="G23" s="11">
        <v>52</v>
      </c>
      <c r="H23" s="11">
        <v>41</v>
      </c>
      <c r="I23" s="11">
        <v>51</v>
      </c>
      <c r="J23" s="13">
        <f>(G23+H23)/I23</f>
        <v>1.8235294117647058</v>
      </c>
      <c r="K23" s="11">
        <v>29785</v>
      </c>
      <c r="L23" s="11">
        <v>36524</v>
      </c>
      <c r="M23" s="11">
        <v>-6739</v>
      </c>
      <c r="N23" s="18">
        <f>K23/F23</f>
        <v>692.67441860465112</v>
      </c>
      <c r="O23" s="15">
        <v>0.65100000000000002</v>
      </c>
      <c r="P23" s="15">
        <v>0.57099999999999995</v>
      </c>
      <c r="Q23" s="16">
        <v>6.3E-2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20" customHeight="1" x14ac:dyDescent="0.25">
      <c r="A24" s="12"/>
      <c r="B24" s="12"/>
      <c r="C24" s="12"/>
      <c r="D24" s="11" t="s">
        <v>20</v>
      </c>
      <c r="E24" s="17" t="s">
        <v>28</v>
      </c>
      <c r="F24" s="11" t="s">
        <v>28</v>
      </c>
      <c r="G24" s="11" t="s">
        <v>28</v>
      </c>
      <c r="H24" s="11" t="s">
        <v>28</v>
      </c>
      <c r="I24" s="11" t="s">
        <v>28</v>
      </c>
      <c r="J24" s="13" t="s">
        <v>28</v>
      </c>
      <c r="K24" s="11" t="s">
        <v>28</v>
      </c>
      <c r="L24" s="11" t="s">
        <v>28</v>
      </c>
      <c r="M24" s="11" t="s">
        <v>28</v>
      </c>
      <c r="N24" s="18" t="s">
        <v>28</v>
      </c>
      <c r="O24" s="15" t="s">
        <v>28</v>
      </c>
      <c r="P24" s="15" t="s">
        <v>28</v>
      </c>
      <c r="Q24" s="16" t="s">
        <v>28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20" customHeight="1" x14ac:dyDescent="0.25">
      <c r="A25" s="12"/>
      <c r="B25" s="12"/>
      <c r="C25" s="12"/>
      <c r="D25" s="11" t="s">
        <v>22</v>
      </c>
      <c r="E25" s="17">
        <v>35</v>
      </c>
      <c r="F25" s="11">
        <v>26</v>
      </c>
      <c r="G25" s="11">
        <v>27</v>
      </c>
      <c r="H25" s="11">
        <v>13</v>
      </c>
      <c r="I25" s="11">
        <v>26</v>
      </c>
      <c r="J25" s="13">
        <f>(G25+H25)/I25</f>
        <v>1.5384615384615385</v>
      </c>
      <c r="K25" s="11">
        <v>12306</v>
      </c>
      <c r="L25" s="11">
        <v>17033</v>
      </c>
      <c r="M25" s="11">
        <v>-4727</v>
      </c>
      <c r="N25" s="18">
        <f>K25/F25</f>
        <v>473.30769230769232</v>
      </c>
      <c r="O25" s="15">
        <v>0.46200000000000002</v>
      </c>
      <c r="P25" s="15">
        <v>0.33300000000000002</v>
      </c>
      <c r="Q25" s="16">
        <v>0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20" customHeight="1" x14ac:dyDescent="0.25">
      <c r="A26" s="12"/>
      <c r="B26" s="12"/>
      <c r="C26" s="12"/>
      <c r="D26" s="11" t="s">
        <v>23</v>
      </c>
      <c r="E26" s="17">
        <v>33</v>
      </c>
      <c r="F26" s="11">
        <v>26</v>
      </c>
      <c r="G26" s="11">
        <v>20</v>
      </c>
      <c r="H26" s="11">
        <v>25</v>
      </c>
      <c r="I26" s="11">
        <v>29</v>
      </c>
      <c r="J26" s="13">
        <f>(G26+H26)/I26</f>
        <v>1.5517241379310345</v>
      </c>
      <c r="K26" s="11">
        <v>16682</v>
      </c>
      <c r="L26" s="11">
        <v>20834</v>
      </c>
      <c r="M26" s="11">
        <f t="shared" ref="M26:M28" si="3">K26-L26</f>
        <v>-4152</v>
      </c>
      <c r="N26" s="18">
        <f>K26/F26</f>
        <v>641.61538461538464</v>
      </c>
      <c r="O26" s="15">
        <v>0.46200000000000002</v>
      </c>
      <c r="P26" s="15">
        <v>0.58299999999999996</v>
      </c>
      <c r="Q26" s="16">
        <v>0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20" customHeight="1" x14ac:dyDescent="0.25">
      <c r="A27" s="12"/>
      <c r="B27" s="12"/>
      <c r="C27" s="12"/>
      <c r="D27" s="11" t="s">
        <v>24</v>
      </c>
      <c r="E27" s="17">
        <v>38</v>
      </c>
      <c r="F27" s="11">
        <v>26</v>
      </c>
      <c r="G27" s="11">
        <v>15</v>
      </c>
      <c r="H27" s="11">
        <v>22</v>
      </c>
      <c r="I27" s="11">
        <v>26</v>
      </c>
      <c r="J27" s="13">
        <f>(G27+H27)/I27</f>
        <v>1.4230769230769231</v>
      </c>
      <c r="K27" s="11">
        <v>13496</v>
      </c>
      <c r="L27" s="11">
        <v>15639</v>
      </c>
      <c r="M27" s="11">
        <f>K27-L27</f>
        <v>-2143</v>
      </c>
      <c r="N27" s="18">
        <f>K27/F27</f>
        <v>519.07692307692309</v>
      </c>
      <c r="O27" s="15">
        <v>0.38500000000000001</v>
      </c>
      <c r="P27" s="15">
        <v>0.2</v>
      </c>
      <c r="Q27" s="16">
        <v>0.5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20" customHeight="1" x14ac:dyDescent="0.25">
      <c r="A28" s="12"/>
      <c r="B28" s="12"/>
      <c r="C28" s="12"/>
      <c r="D28" s="11" t="s">
        <v>25</v>
      </c>
      <c r="E28" s="17" t="s">
        <v>28</v>
      </c>
      <c r="F28" s="11" t="s">
        <v>28</v>
      </c>
      <c r="G28" s="11" t="s">
        <v>28</v>
      </c>
      <c r="H28" s="11" t="s">
        <v>28</v>
      </c>
      <c r="I28" s="11" t="s">
        <v>28</v>
      </c>
      <c r="J28" s="13" t="s">
        <v>28</v>
      </c>
      <c r="K28" s="11" t="s">
        <v>28</v>
      </c>
      <c r="L28" s="11" t="s">
        <v>28</v>
      </c>
      <c r="M28" s="11" t="s">
        <v>28</v>
      </c>
      <c r="N28" s="14" t="s">
        <v>28</v>
      </c>
      <c r="O28" s="15" t="s">
        <v>28</v>
      </c>
      <c r="P28" s="15" t="s">
        <v>28</v>
      </c>
      <c r="Q28" s="16" t="s">
        <v>28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39.950000000000003" customHeight="1" x14ac:dyDescent="0.25">
      <c r="A29" s="12" t="s">
        <v>1</v>
      </c>
      <c r="B29" s="12"/>
      <c r="C29" s="12"/>
      <c r="D29" s="11" t="s">
        <v>0</v>
      </c>
      <c r="E29" s="11" t="s">
        <v>2</v>
      </c>
      <c r="F29" s="11" t="s">
        <v>13</v>
      </c>
      <c r="G29" s="11" t="s">
        <v>3</v>
      </c>
      <c r="H29" s="11" t="s">
        <v>4</v>
      </c>
      <c r="I29" s="11" t="s">
        <v>11</v>
      </c>
      <c r="J29" s="11" t="s">
        <v>12</v>
      </c>
      <c r="K29" s="11" t="s">
        <v>5</v>
      </c>
      <c r="L29" s="11" t="s">
        <v>6</v>
      </c>
      <c r="M29" s="11" t="s">
        <v>7</v>
      </c>
      <c r="N29" s="11" t="s">
        <v>14</v>
      </c>
      <c r="O29" s="11" t="s">
        <v>9</v>
      </c>
      <c r="P29" s="11" t="s">
        <v>8</v>
      </c>
      <c r="Q29" s="11" t="s">
        <v>10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20" customHeight="1" x14ac:dyDescent="0.25">
      <c r="A30" s="12" t="s">
        <v>16</v>
      </c>
      <c r="B30" s="12"/>
      <c r="C30" s="12"/>
      <c r="D30" s="11" t="s">
        <v>21</v>
      </c>
      <c r="E30" s="17">
        <v>8</v>
      </c>
      <c r="F30" s="11">
        <v>34</v>
      </c>
      <c r="G30" s="11">
        <v>17</v>
      </c>
      <c r="H30" s="11">
        <v>50</v>
      </c>
      <c r="I30" s="11">
        <v>36</v>
      </c>
      <c r="J30" s="13">
        <f>(G30+H30)/I30</f>
        <v>1.8611111111111112</v>
      </c>
      <c r="K30" s="11">
        <v>18416</v>
      </c>
      <c r="L30" s="11">
        <v>18431</v>
      </c>
      <c r="M30" s="11">
        <v>-15</v>
      </c>
      <c r="N30" s="18">
        <f>K30/F30</f>
        <v>541.64705882352939</v>
      </c>
      <c r="O30" s="15">
        <v>0.64700000000000002</v>
      </c>
      <c r="P30" s="15">
        <v>0.54500000000000004</v>
      </c>
      <c r="Q30" s="16">
        <v>8.3000000000000004E-2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20" customHeight="1" x14ac:dyDescent="0.25">
      <c r="A31" s="12"/>
      <c r="B31" s="12"/>
      <c r="C31" s="12"/>
      <c r="D31" s="11" t="s">
        <v>20</v>
      </c>
      <c r="E31" s="17">
        <v>30</v>
      </c>
      <c r="F31" s="11">
        <v>30</v>
      </c>
      <c r="G31" s="11">
        <v>10</v>
      </c>
      <c r="H31" s="11">
        <v>33</v>
      </c>
      <c r="I31" s="11">
        <v>28</v>
      </c>
      <c r="J31" s="13">
        <f>(G31+H31)/I31</f>
        <v>1.5357142857142858</v>
      </c>
      <c r="K31" s="11">
        <v>9439</v>
      </c>
      <c r="L31" s="11">
        <v>10450</v>
      </c>
      <c r="M31" s="11">
        <v>-1011</v>
      </c>
      <c r="N31" s="18">
        <f>K31/F31</f>
        <v>314.63333333333333</v>
      </c>
      <c r="O31" s="15">
        <v>0.26740000000000003</v>
      </c>
      <c r="P31" s="15">
        <v>0.125</v>
      </c>
      <c r="Q31" s="16">
        <v>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0" customHeight="1" x14ac:dyDescent="0.25">
      <c r="A32" s="12"/>
      <c r="B32" s="12"/>
      <c r="C32" s="12"/>
      <c r="D32" s="11" t="s">
        <v>22</v>
      </c>
      <c r="E32" s="17">
        <v>13</v>
      </c>
      <c r="F32" s="11">
        <v>40</v>
      </c>
      <c r="G32" s="11">
        <v>12</v>
      </c>
      <c r="H32" s="11">
        <v>61</v>
      </c>
      <c r="I32" s="11">
        <v>39</v>
      </c>
      <c r="J32" s="13">
        <f>(G32+H32)/I32</f>
        <v>1.8717948717948718</v>
      </c>
      <c r="K32" s="11">
        <v>17165</v>
      </c>
      <c r="L32" s="11">
        <v>16406</v>
      </c>
      <c r="M32" s="11">
        <v>759</v>
      </c>
      <c r="N32" s="18">
        <f>K32/F32</f>
        <v>429.125</v>
      </c>
      <c r="O32" s="15">
        <v>0.52500000000000002</v>
      </c>
      <c r="P32" s="15">
        <v>0.42899999999999999</v>
      </c>
      <c r="Q32" s="16">
        <v>0.111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20" customHeight="1" x14ac:dyDescent="0.25">
      <c r="A33" s="12"/>
      <c r="B33" s="12"/>
      <c r="C33" s="12"/>
      <c r="D33" s="11" t="s">
        <v>23</v>
      </c>
      <c r="E33" s="17">
        <v>35</v>
      </c>
      <c r="F33" s="11">
        <v>24</v>
      </c>
      <c r="G33" s="11">
        <v>7</v>
      </c>
      <c r="H33" s="11">
        <v>20</v>
      </c>
      <c r="I33" s="11">
        <v>24</v>
      </c>
      <c r="J33" s="13">
        <f>(G33+H33)/I33</f>
        <v>1.125</v>
      </c>
      <c r="K33" s="11">
        <v>7397</v>
      </c>
      <c r="L33" s="11">
        <v>10028</v>
      </c>
      <c r="M33" s="11">
        <f t="shared" ref="M33:M35" si="4">K33-L33</f>
        <v>-2631</v>
      </c>
      <c r="N33" s="18">
        <f>K33/F33</f>
        <v>308.20833333333331</v>
      </c>
      <c r="O33" s="15">
        <v>0.20799999999999999</v>
      </c>
      <c r="P33" s="15">
        <v>0</v>
      </c>
      <c r="Q33" s="16">
        <v>0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20" customHeight="1" x14ac:dyDescent="0.25">
      <c r="A34" s="12"/>
      <c r="B34" s="12"/>
      <c r="C34" s="12"/>
      <c r="D34" s="11" t="s">
        <v>24</v>
      </c>
      <c r="E34" s="17">
        <v>22</v>
      </c>
      <c r="F34" s="11">
        <v>30</v>
      </c>
      <c r="G34" s="11">
        <v>21</v>
      </c>
      <c r="H34" s="11">
        <v>47</v>
      </c>
      <c r="I34" s="11">
        <v>31</v>
      </c>
      <c r="J34" s="13">
        <f>(G34+H34)/I34</f>
        <v>2.193548387096774</v>
      </c>
      <c r="K34" s="11">
        <v>12267</v>
      </c>
      <c r="L34" s="11">
        <v>13046</v>
      </c>
      <c r="M34" s="11">
        <f>K34-L34</f>
        <v>-779</v>
      </c>
      <c r="N34" s="18">
        <f>K34/F34</f>
        <v>408.9</v>
      </c>
      <c r="O34" s="15">
        <v>0.46700000000000003</v>
      </c>
      <c r="P34" s="15">
        <v>0.42899999999999999</v>
      </c>
      <c r="Q34" s="16">
        <v>0.16700000000000001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20" customHeight="1" x14ac:dyDescent="0.25">
      <c r="A35" s="12"/>
      <c r="B35" s="12"/>
      <c r="C35" s="12"/>
      <c r="D35" s="11" t="s">
        <v>25</v>
      </c>
      <c r="E35" s="17" t="s">
        <v>28</v>
      </c>
      <c r="F35" s="11" t="s">
        <v>28</v>
      </c>
      <c r="G35" s="11" t="s">
        <v>28</v>
      </c>
      <c r="H35" s="11" t="s">
        <v>28</v>
      </c>
      <c r="I35" s="11" t="s">
        <v>28</v>
      </c>
      <c r="J35" s="13" t="s">
        <v>28</v>
      </c>
      <c r="K35" s="11" t="s">
        <v>28</v>
      </c>
      <c r="L35" s="11" t="s">
        <v>28</v>
      </c>
      <c r="M35" s="11" t="s">
        <v>28</v>
      </c>
      <c r="N35" s="14" t="s">
        <v>28</v>
      </c>
      <c r="O35" s="15" t="s">
        <v>28</v>
      </c>
      <c r="P35" s="15" t="s">
        <v>28</v>
      </c>
      <c r="Q35" s="16" t="s">
        <v>28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39.950000000000003" customHeight="1" x14ac:dyDescent="0.25">
      <c r="A36" s="12" t="s">
        <v>1</v>
      </c>
      <c r="B36" s="12"/>
      <c r="C36" s="12"/>
      <c r="D36" s="11" t="s">
        <v>0</v>
      </c>
      <c r="E36" s="11" t="s">
        <v>2</v>
      </c>
      <c r="F36" s="11" t="s">
        <v>13</v>
      </c>
      <c r="G36" s="11" t="s">
        <v>3</v>
      </c>
      <c r="H36" s="11" t="s">
        <v>4</v>
      </c>
      <c r="I36" s="11" t="s">
        <v>11</v>
      </c>
      <c r="J36" s="11" t="s">
        <v>12</v>
      </c>
      <c r="K36" s="11" t="s">
        <v>5</v>
      </c>
      <c r="L36" s="11" t="s">
        <v>6</v>
      </c>
      <c r="M36" s="11" t="s">
        <v>7</v>
      </c>
      <c r="N36" s="11" t="s">
        <v>14</v>
      </c>
      <c r="O36" s="11" t="s">
        <v>9</v>
      </c>
      <c r="P36" s="11" t="s">
        <v>8</v>
      </c>
      <c r="Q36" s="11" t="s">
        <v>10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20" customHeight="1" x14ac:dyDescent="0.25">
      <c r="A37" s="12" t="s">
        <v>27</v>
      </c>
      <c r="B37" s="12"/>
      <c r="C37" s="12"/>
      <c r="D37" s="11" t="s">
        <v>21</v>
      </c>
      <c r="E37" s="17" t="s">
        <v>29</v>
      </c>
      <c r="F37" s="17" t="s">
        <v>29</v>
      </c>
      <c r="G37" s="17" t="s">
        <v>29</v>
      </c>
      <c r="H37" s="17" t="s">
        <v>29</v>
      </c>
      <c r="I37" s="17" t="s">
        <v>29</v>
      </c>
      <c r="J37" s="17" t="s">
        <v>29</v>
      </c>
      <c r="K37" s="17" t="s">
        <v>29</v>
      </c>
      <c r="L37" s="17" t="s">
        <v>29</v>
      </c>
      <c r="M37" s="17" t="s">
        <v>29</v>
      </c>
      <c r="N37" s="18" t="s">
        <v>29</v>
      </c>
      <c r="O37" s="17" t="s">
        <v>29</v>
      </c>
      <c r="P37" s="17" t="s">
        <v>29</v>
      </c>
      <c r="Q37" s="17" t="s">
        <v>29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20" customHeight="1" x14ac:dyDescent="0.25">
      <c r="A38" s="12"/>
      <c r="B38" s="12"/>
      <c r="C38" s="12"/>
      <c r="D38" s="11" t="s">
        <v>20</v>
      </c>
      <c r="E38" s="17" t="s">
        <v>28</v>
      </c>
      <c r="F38" s="11" t="s">
        <v>28</v>
      </c>
      <c r="G38" s="11" t="s">
        <v>28</v>
      </c>
      <c r="H38" s="11" t="s">
        <v>28</v>
      </c>
      <c r="I38" s="11" t="s">
        <v>28</v>
      </c>
      <c r="J38" s="13" t="s">
        <v>28</v>
      </c>
      <c r="K38" s="11" t="s">
        <v>28</v>
      </c>
      <c r="L38" s="11" t="s">
        <v>28</v>
      </c>
      <c r="M38" s="11" t="s">
        <v>28</v>
      </c>
      <c r="N38" s="18" t="s">
        <v>28</v>
      </c>
      <c r="O38" s="15" t="s">
        <v>28</v>
      </c>
      <c r="P38" s="15" t="s">
        <v>28</v>
      </c>
      <c r="Q38" s="16" t="s">
        <v>28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20" customHeight="1" x14ac:dyDescent="0.25">
      <c r="A39" s="12"/>
      <c r="B39" s="12"/>
      <c r="C39" s="12"/>
      <c r="D39" s="11" t="s">
        <v>22</v>
      </c>
      <c r="E39" s="17" t="s">
        <v>28</v>
      </c>
      <c r="F39" s="11" t="s">
        <v>28</v>
      </c>
      <c r="G39" s="11" t="s">
        <v>28</v>
      </c>
      <c r="H39" s="11" t="s">
        <v>28</v>
      </c>
      <c r="I39" s="11" t="s">
        <v>28</v>
      </c>
      <c r="J39" s="13" t="s">
        <v>28</v>
      </c>
      <c r="K39" s="11" t="s">
        <v>28</v>
      </c>
      <c r="L39" s="11" t="s">
        <v>28</v>
      </c>
      <c r="M39" s="11" t="s">
        <v>28</v>
      </c>
      <c r="N39" s="18" t="s">
        <v>28</v>
      </c>
      <c r="O39" s="15" t="s">
        <v>28</v>
      </c>
      <c r="P39" s="15" t="s">
        <v>28</v>
      </c>
      <c r="Q39" s="16" t="s">
        <v>28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20" customHeight="1" x14ac:dyDescent="0.25">
      <c r="A40" s="12"/>
      <c r="B40" s="12"/>
      <c r="C40" s="12"/>
      <c r="D40" s="11" t="s">
        <v>23</v>
      </c>
      <c r="E40" s="17" t="s">
        <v>28</v>
      </c>
      <c r="F40" s="11" t="s">
        <v>28</v>
      </c>
      <c r="G40" s="11" t="s">
        <v>28</v>
      </c>
      <c r="H40" s="11" t="s">
        <v>28</v>
      </c>
      <c r="I40" s="11" t="s">
        <v>28</v>
      </c>
      <c r="J40" s="13" t="s">
        <v>28</v>
      </c>
      <c r="K40" s="11" t="s">
        <v>28</v>
      </c>
      <c r="L40" s="11" t="s">
        <v>28</v>
      </c>
      <c r="M40" s="11" t="s">
        <v>28</v>
      </c>
      <c r="N40" s="18" t="s">
        <v>28</v>
      </c>
      <c r="O40" s="15" t="s">
        <v>28</v>
      </c>
      <c r="P40" s="15" t="s">
        <v>28</v>
      </c>
      <c r="Q40" s="16" t="s">
        <v>28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20" customHeight="1" x14ac:dyDescent="0.25">
      <c r="A41" s="12"/>
      <c r="B41" s="12"/>
      <c r="C41" s="12"/>
      <c r="D41" s="11" t="s">
        <v>24</v>
      </c>
      <c r="E41" s="17" t="s">
        <v>28</v>
      </c>
      <c r="F41" s="11" t="s">
        <v>28</v>
      </c>
      <c r="G41" s="11" t="s">
        <v>28</v>
      </c>
      <c r="H41" s="11" t="s">
        <v>28</v>
      </c>
      <c r="I41" s="11" t="s">
        <v>28</v>
      </c>
      <c r="J41" s="13" t="s">
        <v>28</v>
      </c>
      <c r="K41" s="11" t="s">
        <v>28</v>
      </c>
      <c r="L41" s="11" t="s">
        <v>28</v>
      </c>
      <c r="M41" s="11" t="s">
        <v>28</v>
      </c>
      <c r="N41" s="18" t="s">
        <v>28</v>
      </c>
      <c r="O41" s="15" t="s">
        <v>28</v>
      </c>
      <c r="P41" s="15" t="s">
        <v>28</v>
      </c>
      <c r="Q41" s="16" t="s">
        <v>28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20" customHeight="1" x14ac:dyDescent="0.25">
      <c r="A42" s="12"/>
      <c r="B42" s="12"/>
      <c r="C42" s="12"/>
      <c r="D42" s="11" t="s">
        <v>25</v>
      </c>
      <c r="E42" s="17">
        <v>15</v>
      </c>
      <c r="F42" s="11">
        <v>23</v>
      </c>
      <c r="G42" s="11">
        <v>8</v>
      </c>
      <c r="H42" s="11">
        <v>39</v>
      </c>
      <c r="I42" s="11">
        <v>22</v>
      </c>
      <c r="J42" s="13">
        <f>(G42+H42)/I42</f>
        <v>2.1363636363636362</v>
      </c>
      <c r="K42" s="11">
        <v>9823</v>
      </c>
      <c r="L42" s="11">
        <v>8989</v>
      </c>
      <c r="M42" s="11">
        <f t="shared" ref="M40:M42" si="5">K42-L42</f>
        <v>834</v>
      </c>
      <c r="N42" s="18">
        <f>K42/F42</f>
        <v>427.08695652173913</v>
      </c>
      <c r="O42" s="15">
        <v>0.435</v>
      </c>
      <c r="P42" s="15">
        <v>0.4</v>
      </c>
      <c r="Q42" s="16">
        <v>0.25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39.950000000000003" customHeight="1" x14ac:dyDescent="0.25">
      <c r="A43" s="12" t="s">
        <v>1</v>
      </c>
      <c r="B43" s="12"/>
      <c r="C43" s="12"/>
      <c r="D43" s="11" t="s">
        <v>0</v>
      </c>
      <c r="E43" s="11" t="s">
        <v>2</v>
      </c>
      <c r="F43" s="11" t="s">
        <v>13</v>
      </c>
      <c r="G43" s="11" t="s">
        <v>3</v>
      </c>
      <c r="H43" s="11" t="s">
        <v>4</v>
      </c>
      <c r="I43" s="11" t="s">
        <v>11</v>
      </c>
      <c r="J43" s="11" t="s">
        <v>12</v>
      </c>
      <c r="K43" s="11" t="s">
        <v>5</v>
      </c>
      <c r="L43" s="11" t="s">
        <v>6</v>
      </c>
      <c r="M43" s="11" t="s">
        <v>7</v>
      </c>
      <c r="N43" s="18" t="s">
        <v>14</v>
      </c>
      <c r="O43" s="11" t="s">
        <v>9</v>
      </c>
      <c r="P43" s="11" t="s">
        <v>8</v>
      </c>
      <c r="Q43" s="11" t="s">
        <v>10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20" customHeight="1" x14ac:dyDescent="0.25">
      <c r="A44" s="12" t="s">
        <v>26</v>
      </c>
      <c r="B44" s="12"/>
      <c r="C44" s="12"/>
      <c r="D44" s="11" t="s">
        <v>21</v>
      </c>
      <c r="E44" s="17" t="s">
        <v>28</v>
      </c>
      <c r="F44" s="11" t="s">
        <v>28</v>
      </c>
      <c r="G44" s="11" t="s">
        <v>28</v>
      </c>
      <c r="H44" s="11" t="s">
        <v>28</v>
      </c>
      <c r="I44" s="11" t="s">
        <v>28</v>
      </c>
      <c r="J44" s="13" t="s">
        <v>28</v>
      </c>
      <c r="K44" s="11" t="s">
        <v>28</v>
      </c>
      <c r="L44" s="11" t="s">
        <v>28</v>
      </c>
      <c r="M44" s="11" t="s">
        <v>28</v>
      </c>
      <c r="N44" s="18" t="s">
        <v>29</v>
      </c>
      <c r="O44" s="15" t="s">
        <v>28</v>
      </c>
      <c r="P44" s="15" t="s">
        <v>28</v>
      </c>
      <c r="Q44" s="16" t="s">
        <v>28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20" customHeight="1" x14ac:dyDescent="0.25">
      <c r="A45" s="12"/>
      <c r="B45" s="12"/>
      <c r="C45" s="12"/>
      <c r="D45" s="11" t="s">
        <v>20</v>
      </c>
      <c r="E45" s="17" t="s">
        <v>28</v>
      </c>
      <c r="F45" s="11" t="s">
        <v>28</v>
      </c>
      <c r="G45" s="11" t="s">
        <v>28</v>
      </c>
      <c r="H45" s="11" t="s">
        <v>28</v>
      </c>
      <c r="I45" s="11" t="s">
        <v>28</v>
      </c>
      <c r="J45" s="13" t="s">
        <v>28</v>
      </c>
      <c r="K45" s="11" t="s">
        <v>28</v>
      </c>
      <c r="L45" s="11" t="s">
        <v>28</v>
      </c>
      <c r="M45" s="11" t="s">
        <v>28</v>
      </c>
      <c r="N45" s="18" t="s">
        <v>28</v>
      </c>
      <c r="O45" s="15" t="s">
        <v>28</v>
      </c>
      <c r="P45" s="15" t="s">
        <v>28</v>
      </c>
      <c r="Q45" s="16" t="s">
        <v>28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20" customHeight="1" x14ac:dyDescent="0.25">
      <c r="A46" s="12"/>
      <c r="B46" s="12"/>
      <c r="C46" s="12"/>
      <c r="D46" s="11" t="s">
        <v>22</v>
      </c>
      <c r="E46" s="17" t="s">
        <v>28</v>
      </c>
      <c r="F46" s="11" t="s">
        <v>28</v>
      </c>
      <c r="G46" s="11" t="s">
        <v>28</v>
      </c>
      <c r="H46" s="11" t="s">
        <v>28</v>
      </c>
      <c r="I46" s="11" t="s">
        <v>28</v>
      </c>
      <c r="J46" s="13" t="s">
        <v>28</v>
      </c>
      <c r="K46" s="11" t="s">
        <v>28</v>
      </c>
      <c r="L46" s="11" t="s">
        <v>28</v>
      </c>
      <c r="M46" s="11" t="s">
        <v>28</v>
      </c>
      <c r="N46" s="18" t="s">
        <v>28</v>
      </c>
      <c r="O46" s="15" t="s">
        <v>28</v>
      </c>
      <c r="P46" s="15" t="s">
        <v>28</v>
      </c>
      <c r="Q46" s="16" t="s">
        <v>28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20" customHeight="1" x14ac:dyDescent="0.25">
      <c r="A47" s="12"/>
      <c r="B47" s="12"/>
      <c r="C47" s="12"/>
      <c r="D47" s="11" t="s">
        <v>23</v>
      </c>
      <c r="E47" s="17" t="s">
        <v>28</v>
      </c>
      <c r="F47" s="11" t="s">
        <v>28</v>
      </c>
      <c r="G47" s="11" t="s">
        <v>28</v>
      </c>
      <c r="H47" s="11" t="s">
        <v>28</v>
      </c>
      <c r="I47" s="11" t="s">
        <v>28</v>
      </c>
      <c r="J47" s="13" t="s">
        <v>28</v>
      </c>
      <c r="K47" s="11" t="s">
        <v>28</v>
      </c>
      <c r="L47" s="11" t="s">
        <v>28</v>
      </c>
      <c r="M47" s="11" t="s">
        <v>28</v>
      </c>
      <c r="N47" s="18" t="s">
        <v>28</v>
      </c>
      <c r="O47" s="15" t="s">
        <v>28</v>
      </c>
      <c r="P47" s="15" t="s">
        <v>28</v>
      </c>
      <c r="Q47" s="16" t="s">
        <v>28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20" customHeight="1" x14ac:dyDescent="0.25">
      <c r="A48" s="12"/>
      <c r="B48" s="12"/>
      <c r="C48" s="12"/>
      <c r="D48" s="11" t="s">
        <v>24</v>
      </c>
      <c r="E48" s="17" t="s">
        <v>28</v>
      </c>
      <c r="F48" s="11" t="s">
        <v>28</v>
      </c>
      <c r="G48" s="11" t="s">
        <v>28</v>
      </c>
      <c r="H48" s="11" t="s">
        <v>28</v>
      </c>
      <c r="I48" s="11" t="s">
        <v>28</v>
      </c>
      <c r="J48" s="13" t="s">
        <v>28</v>
      </c>
      <c r="K48" s="11" t="s">
        <v>28</v>
      </c>
      <c r="L48" s="11" t="s">
        <v>28</v>
      </c>
      <c r="M48" s="11" t="s">
        <v>28</v>
      </c>
      <c r="N48" s="18" t="s">
        <v>28</v>
      </c>
      <c r="O48" s="15" t="s">
        <v>28</v>
      </c>
      <c r="P48" s="15" t="s">
        <v>28</v>
      </c>
      <c r="Q48" s="16" t="s">
        <v>28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20" customHeight="1" x14ac:dyDescent="0.25">
      <c r="A49" s="12"/>
      <c r="B49" s="12"/>
      <c r="C49" s="12"/>
      <c r="D49" s="11" t="s">
        <v>25</v>
      </c>
      <c r="E49" s="17">
        <v>37</v>
      </c>
      <c r="F49" s="11">
        <v>24</v>
      </c>
      <c r="G49" s="11">
        <v>13</v>
      </c>
      <c r="H49" s="11">
        <v>15</v>
      </c>
      <c r="I49" s="11">
        <v>25</v>
      </c>
      <c r="J49" s="13">
        <f t="shared" ref="J47:J49" si="6">(G49+H49)/I49</f>
        <v>1.1200000000000001</v>
      </c>
      <c r="K49" s="11">
        <v>8113</v>
      </c>
      <c r="L49" s="11">
        <v>10306</v>
      </c>
      <c r="M49" s="11">
        <f t="shared" ref="M47:M49" si="7">K49-L49</f>
        <v>-2193</v>
      </c>
      <c r="N49" s="18">
        <f>K49/F49</f>
        <v>338.04166666666669</v>
      </c>
      <c r="O49" s="15">
        <v>0.41699999999999998</v>
      </c>
      <c r="P49" s="15">
        <v>0.1</v>
      </c>
      <c r="Q49" s="16">
        <v>0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39.950000000000003" customHeight="1" x14ac:dyDescent="0.25">
      <c r="A50" s="12" t="s">
        <v>1</v>
      </c>
      <c r="B50" s="12"/>
      <c r="C50" s="12"/>
      <c r="D50" s="11" t="s">
        <v>0</v>
      </c>
      <c r="E50" s="11" t="s">
        <v>2</v>
      </c>
      <c r="F50" s="11" t="s">
        <v>13</v>
      </c>
      <c r="G50" s="11" t="s">
        <v>3</v>
      </c>
      <c r="H50" s="11" t="s">
        <v>4</v>
      </c>
      <c r="I50" s="11" t="s">
        <v>11</v>
      </c>
      <c r="J50" s="11" t="s">
        <v>12</v>
      </c>
      <c r="K50" s="11" t="s">
        <v>5</v>
      </c>
      <c r="L50" s="11" t="s">
        <v>6</v>
      </c>
      <c r="M50" s="11" t="s">
        <v>7</v>
      </c>
      <c r="N50" s="11" t="s">
        <v>14</v>
      </c>
      <c r="O50" s="11" t="s">
        <v>9</v>
      </c>
      <c r="P50" s="11" t="s">
        <v>8</v>
      </c>
      <c r="Q50" s="11" t="s">
        <v>10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20" customHeight="1" x14ac:dyDescent="0.25">
      <c r="A51" s="12" t="s">
        <v>30</v>
      </c>
      <c r="B51" s="12"/>
      <c r="C51" s="12"/>
      <c r="D51" s="11" t="s">
        <v>21</v>
      </c>
      <c r="E51" s="17" t="s">
        <v>28</v>
      </c>
      <c r="F51" s="11" t="s">
        <v>28</v>
      </c>
      <c r="G51" s="11" t="s">
        <v>28</v>
      </c>
      <c r="H51" s="11" t="s">
        <v>28</v>
      </c>
      <c r="I51" s="11" t="s">
        <v>28</v>
      </c>
      <c r="J51" s="13" t="s">
        <v>28</v>
      </c>
      <c r="K51" s="11" t="s">
        <v>28</v>
      </c>
      <c r="L51" s="11" t="s">
        <v>28</v>
      </c>
      <c r="M51" s="11" t="s">
        <v>28</v>
      </c>
      <c r="N51" s="18" t="s">
        <v>29</v>
      </c>
      <c r="O51" s="15" t="s">
        <v>28</v>
      </c>
      <c r="P51" s="15" t="s">
        <v>28</v>
      </c>
      <c r="Q51" s="16" t="s">
        <v>28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20" customHeight="1" x14ac:dyDescent="0.25">
      <c r="A52" s="12"/>
      <c r="B52" s="12"/>
      <c r="C52" s="12"/>
      <c r="D52" s="11" t="s">
        <v>20</v>
      </c>
      <c r="E52" s="17" t="s">
        <v>28</v>
      </c>
      <c r="F52" s="11" t="s">
        <v>28</v>
      </c>
      <c r="G52" s="11" t="s">
        <v>28</v>
      </c>
      <c r="H52" s="11" t="s">
        <v>28</v>
      </c>
      <c r="I52" s="11" t="s">
        <v>28</v>
      </c>
      <c r="J52" s="13" t="s">
        <v>28</v>
      </c>
      <c r="K52" s="11" t="s">
        <v>28</v>
      </c>
      <c r="L52" s="11" t="s">
        <v>28</v>
      </c>
      <c r="M52" s="11" t="s">
        <v>28</v>
      </c>
      <c r="N52" s="18" t="s">
        <v>28</v>
      </c>
      <c r="O52" s="15" t="s">
        <v>28</v>
      </c>
      <c r="P52" s="15" t="s">
        <v>28</v>
      </c>
      <c r="Q52" s="16" t="s">
        <v>28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20" customHeight="1" x14ac:dyDescent="0.25">
      <c r="A53" s="12"/>
      <c r="B53" s="12"/>
      <c r="C53" s="12"/>
      <c r="D53" s="11" t="s">
        <v>22</v>
      </c>
      <c r="E53" s="17">
        <v>7</v>
      </c>
      <c r="F53" s="11">
        <v>34</v>
      </c>
      <c r="G53" s="11">
        <v>47</v>
      </c>
      <c r="H53" s="11">
        <v>51</v>
      </c>
      <c r="I53" s="11">
        <v>29</v>
      </c>
      <c r="J53" s="13">
        <f t="shared" ref="J53" si="8">(G53+H53)/I53</f>
        <v>3.3793103448275863</v>
      </c>
      <c r="K53" s="11">
        <v>21561</v>
      </c>
      <c r="L53" s="11">
        <v>18200</v>
      </c>
      <c r="M53" s="11">
        <v>3361</v>
      </c>
      <c r="N53" s="18">
        <f>K53/F53</f>
        <v>634.14705882352939</v>
      </c>
      <c r="O53" s="15">
        <v>0.61799999999999999</v>
      </c>
      <c r="P53" s="15">
        <v>0.57099999999999995</v>
      </c>
      <c r="Q53" s="16">
        <v>0.41699999999999998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20" customHeight="1" x14ac:dyDescent="0.25">
      <c r="A54" s="12"/>
      <c r="B54" s="12"/>
      <c r="C54" s="12"/>
      <c r="D54" s="11" t="s">
        <v>23</v>
      </c>
      <c r="E54" s="17" t="s">
        <v>28</v>
      </c>
      <c r="F54" s="11" t="s">
        <v>28</v>
      </c>
      <c r="G54" s="11" t="s">
        <v>28</v>
      </c>
      <c r="H54" s="11" t="s">
        <v>28</v>
      </c>
      <c r="I54" s="11" t="s">
        <v>28</v>
      </c>
      <c r="J54" s="13" t="s">
        <v>28</v>
      </c>
      <c r="K54" s="11" t="s">
        <v>28</v>
      </c>
      <c r="L54" s="11" t="s">
        <v>28</v>
      </c>
      <c r="M54" s="11" t="s">
        <v>28</v>
      </c>
      <c r="N54" s="18" t="s">
        <v>28</v>
      </c>
      <c r="O54" s="15" t="s">
        <v>28</v>
      </c>
      <c r="P54" s="15" t="s">
        <v>28</v>
      </c>
      <c r="Q54" s="16" t="s">
        <v>28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20" customHeight="1" x14ac:dyDescent="0.25">
      <c r="A55" s="12"/>
      <c r="B55" s="12"/>
      <c r="C55" s="12"/>
      <c r="D55" s="11" t="s">
        <v>24</v>
      </c>
      <c r="E55" s="17" t="s">
        <v>28</v>
      </c>
      <c r="F55" s="11" t="s">
        <v>28</v>
      </c>
      <c r="G55" s="11" t="s">
        <v>28</v>
      </c>
      <c r="H55" s="11" t="s">
        <v>28</v>
      </c>
      <c r="I55" s="11" t="s">
        <v>28</v>
      </c>
      <c r="J55" s="13" t="s">
        <v>28</v>
      </c>
      <c r="K55" s="11" t="s">
        <v>28</v>
      </c>
      <c r="L55" s="11" t="s">
        <v>28</v>
      </c>
      <c r="M55" s="11" t="s">
        <v>28</v>
      </c>
      <c r="N55" s="18" t="s">
        <v>28</v>
      </c>
      <c r="O55" s="15" t="s">
        <v>28</v>
      </c>
      <c r="P55" s="15" t="s">
        <v>28</v>
      </c>
      <c r="Q55" s="16" t="s">
        <v>28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20" customHeight="1" x14ac:dyDescent="0.25">
      <c r="A56" s="12"/>
      <c r="B56" s="12"/>
      <c r="C56" s="12"/>
      <c r="D56" s="11" t="s">
        <v>25</v>
      </c>
      <c r="E56" s="17">
        <v>18</v>
      </c>
      <c r="F56" s="11">
        <v>42</v>
      </c>
      <c r="G56" s="11">
        <v>43</v>
      </c>
      <c r="H56" s="11">
        <v>22</v>
      </c>
      <c r="I56" s="11">
        <v>43</v>
      </c>
      <c r="J56" s="13">
        <f t="shared" ref="J56" si="9">(G56+H56)/I56</f>
        <v>1.5116279069767442</v>
      </c>
      <c r="K56" s="11">
        <v>13138</v>
      </c>
      <c r="L56" s="11">
        <v>16312</v>
      </c>
      <c r="M56" s="11">
        <f t="shared" ref="M56" si="10">K56-L56</f>
        <v>-3174</v>
      </c>
      <c r="N56" s="18">
        <f>K56/F56</f>
        <v>312.8095238095238</v>
      </c>
      <c r="O56" s="15">
        <v>0.45200000000000001</v>
      </c>
      <c r="P56" s="15">
        <v>0.26300000000000001</v>
      </c>
      <c r="Q56" s="16">
        <v>0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39.950000000000003" customHeight="1" x14ac:dyDescent="0.25">
      <c r="A57" s="12" t="s">
        <v>1</v>
      </c>
      <c r="B57" s="12"/>
      <c r="C57" s="12"/>
      <c r="D57" s="11" t="s">
        <v>0</v>
      </c>
      <c r="E57" s="11" t="s">
        <v>2</v>
      </c>
      <c r="F57" s="11" t="s">
        <v>13</v>
      </c>
      <c r="G57" s="11" t="s">
        <v>3</v>
      </c>
      <c r="H57" s="11" t="s">
        <v>4</v>
      </c>
      <c r="I57" s="11" t="s">
        <v>11</v>
      </c>
      <c r="J57" s="11" t="s">
        <v>12</v>
      </c>
      <c r="K57" s="11" t="s">
        <v>5</v>
      </c>
      <c r="L57" s="11" t="s">
        <v>6</v>
      </c>
      <c r="M57" s="11" t="s">
        <v>7</v>
      </c>
      <c r="N57" s="11" t="s">
        <v>14</v>
      </c>
      <c r="O57" s="11" t="s">
        <v>9</v>
      </c>
      <c r="P57" s="11" t="s">
        <v>8</v>
      </c>
      <c r="Q57" s="11" t="s">
        <v>10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20" customHeight="1" x14ac:dyDescent="0.25">
      <c r="A58" s="12" t="s">
        <v>31</v>
      </c>
      <c r="B58" s="12"/>
      <c r="C58" s="12"/>
      <c r="D58" s="11" t="s">
        <v>21</v>
      </c>
      <c r="E58" s="17" t="s">
        <v>28</v>
      </c>
      <c r="F58" s="11" t="s">
        <v>28</v>
      </c>
      <c r="G58" s="11" t="s">
        <v>28</v>
      </c>
      <c r="H58" s="11" t="s">
        <v>28</v>
      </c>
      <c r="I58" s="11" t="s">
        <v>28</v>
      </c>
      <c r="J58" s="13" t="s">
        <v>28</v>
      </c>
      <c r="K58" s="11" t="s">
        <v>28</v>
      </c>
      <c r="L58" s="11" t="s">
        <v>28</v>
      </c>
      <c r="M58" s="11" t="s">
        <v>28</v>
      </c>
      <c r="N58" s="18" t="s">
        <v>29</v>
      </c>
      <c r="O58" s="15" t="s">
        <v>28</v>
      </c>
      <c r="P58" s="15" t="s">
        <v>28</v>
      </c>
      <c r="Q58" s="16" t="s">
        <v>28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20" customHeight="1" x14ac:dyDescent="0.25">
      <c r="A59" s="12"/>
      <c r="B59" s="12"/>
      <c r="C59" s="12"/>
      <c r="D59" s="11" t="s">
        <v>20</v>
      </c>
      <c r="E59" s="17" t="s">
        <v>28</v>
      </c>
      <c r="F59" s="11" t="s">
        <v>28</v>
      </c>
      <c r="G59" s="11" t="s">
        <v>28</v>
      </c>
      <c r="H59" s="11" t="s">
        <v>28</v>
      </c>
      <c r="I59" s="11" t="s">
        <v>28</v>
      </c>
      <c r="J59" s="13" t="s">
        <v>28</v>
      </c>
      <c r="K59" s="11" t="s">
        <v>28</v>
      </c>
      <c r="L59" s="11" t="s">
        <v>28</v>
      </c>
      <c r="M59" s="11" t="s">
        <v>28</v>
      </c>
      <c r="N59" s="18" t="s">
        <v>28</v>
      </c>
      <c r="O59" s="15" t="s">
        <v>28</v>
      </c>
      <c r="P59" s="15" t="s">
        <v>28</v>
      </c>
      <c r="Q59" s="16" t="s">
        <v>28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20" customHeight="1" x14ac:dyDescent="0.25">
      <c r="A60" s="12"/>
      <c r="B60" s="12"/>
      <c r="C60" s="12"/>
      <c r="D60" s="11" t="s">
        <v>22</v>
      </c>
      <c r="E60" s="17">
        <v>25</v>
      </c>
      <c r="F60" s="11">
        <v>30</v>
      </c>
      <c r="G60" s="11">
        <v>19</v>
      </c>
      <c r="H60" s="11">
        <v>40</v>
      </c>
      <c r="I60" s="11">
        <v>30</v>
      </c>
      <c r="J60" s="13">
        <f t="shared" ref="J60" si="11">(G60+H60)/I60</f>
        <v>1.9666666666666666</v>
      </c>
      <c r="K60" s="11">
        <v>13694</v>
      </c>
      <c r="L60" s="11">
        <v>16248</v>
      </c>
      <c r="M60" s="11">
        <v>-2554</v>
      </c>
      <c r="N60" s="18">
        <f>K60/F60</f>
        <v>456.46666666666664</v>
      </c>
      <c r="O60" s="15">
        <v>0.433</v>
      </c>
      <c r="P60" s="15">
        <v>0.308</v>
      </c>
      <c r="Q60" s="16">
        <v>0.25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20" customHeight="1" x14ac:dyDescent="0.25">
      <c r="A61" s="12"/>
      <c r="B61" s="12"/>
      <c r="C61" s="12"/>
      <c r="D61" s="11" t="s">
        <v>23</v>
      </c>
      <c r="E61" s="17" t="s">
        <v>28</v>
      </c>
      <c r="F61" s="11" t="s">
        <v>28</v>
      </c>
      <c r="G61" s="11" t="s">
        <v>28</v>
      </c>
      <c r="H61" s="11" t="s">
        <v>28</v>
      </c>
      <c r="I61" s="11" t="s">
        <v>28</v>
      </c>
      <c r="J61" s="13" t="s">
        <v>28</v>
      </c>
      <c r="K61" s="11" t="s">
        <v>28</v>
      </c>
      <c r="L61" s="11" t="s">
        <v>28</v>
      </c>
      <c r="M61" s="11" t="s">
        <v>28</v>
      </c>
      <c r="N61" s="18" t="s">
        <v>28</v>
      </c>
      <c r="O61" s="15" t="s">
        <v>28</v>
      </c>
      <c r="P61" s="15" t="s">
        <v>28</v>
      </c>
      <c r="Q61" s="16" t="s">
        <v>28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20" customHeight="1" x14ac:dyDescent="0.25">
      <c r="A62" s="12"/>
      <c r="B62" s="12"/>
      <c r="C62" s="12"/>
      <c r="D62" s="11" t="s">
        <v>24</v>
      </c>
      <c r="E62" s="17" t="s">
        <v>28</v>
      </c>
      <c r="F62" s="11" t="s">
        <v>28</v>
      </c>
      <c r="G62" s="11" t="s">
        <v>28</v>
      </c>
      <c r="H62" s="11" t="s">
        <v>28</v>
      </c>
      <c r="I62" s="11" t="s">
        <v>28</v>
      </c>
      <c r="J62" s="13" t="s">
        <v>28</v>
      </c>
      <c r="K62" s="11" t="s">
        <v>28</v>
      </c>
      <c r="L62" s="11" t="s">
        <v>28</v>
      </c>
      <c r="M62" s="11" t="s">
        <v>28</v>
      </c>
      <c r="N62" s="18" t="s">
        <v>28</v>
      </c>
      <c r="O62" s="15" t="s">
        <v>28</v>
      </c>
      <c r="P62" s="15" t="s">
        <v>28</v>
      </c>
      <c r="Q62" s="16" t="s">
        <v>28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20" customHeight="1" x14ac:dyDescent="0.25">
      <c r="A63" s="12"/>
      <c r="B63" s="12"/>
      <c r="C63" s="12"/>
      <c r="D63" s="11" t="s">
        <v>25</v>
      </c>
      <c r="E63" s="17">
        <v>32</v>
      </c>
      <c r="F63" s="11">
        <v>24</v>
      </c>
      <c r="G63" s="11">
        <v>16</v>
      </c>
      <c r="H63" s="11">
        <v>13</v>
      </c>
      <c r="I63" s="11">
        <v>25</v>
      </c>
      <c r="J63" s="13">
        <f t="shared" ref="J63" si="12">(G63+H63)/I63</f>
        <v>1.1599999999999999</v>
      </c>
      <c r="K63" s="11">
        <v>7497</v>
      </c>
      <c r="L63" s="11">
        <v>11106</v>
      </c>
      <c r="M63" s="11">
        <f t="shared" ref="M63" si="13">K63-L63</f>
        <v>-3609</v>
      </c>
      <c r="N63" s="18">
        <f>K63/F63</f>
        <v>312.375</v>
      </c>
      <c r="O63" s="15">
        <v>0.625</v>
      </c>
      <c r="P63" s="15">
        <v>0.4</v>
      </c>
      <c r="Q63" s="16">
        <v>0.16700000000000001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20" customHeight="1" x14ac:dyDescent="0.25">
      <c r="A64" s="11"/>
      <c r="B64" s="11"/>
      <c r="C64" s="11"/>
      <c r="D64" s="11"/>
      <c r="E64" s="17"/>
      <c r="F64" s="11"/>
      <c r="G64" s="11"/>
      <c r="H64" s="11"/>
      <c r="I64" s="11"/>
      <c r="J64" s="13"/>
      <c r="K64" s="11"/>
      <c r="L64" s="11"/>
      <c r="M64" s="11"/>
      <c r="N64" s="14"/>
      <c r="O64" s="15"/>
      <c r="P64" s="15"/>
      <c r="Q64" s="16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20" customHeight="1" x14ac:dyDescent="0.25">
      <c r="A65" s="11"/>
      <c r="B65" s="11"/>
      <c r="C65" s="11"/>
      <c r="D65" s="11"/>
      <c r="E65" s="17"/>
      <c r="F65" s="11"/>
      <c r="G65" s="11"/>
      <c r="H65" s="11"/>
      <c r="I65" s="11"/>
      <c r="J65" s="13"/>
      <c r="K65" s="11"/>
      <c r="L65" s="11"/>
      <c r="M65" s="11"/>
      <c r="N65" s="14"/>
      <c r="O65" s="15"/>
      <c r="P65" s="15"/>
      <c r="Q65" s="16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20" customHeight="1" x14ac:dyDescent="0.25">
      <c r="A66" s="11"/>
      <c r="B66" s="11"/>
      <c r="C66" s="11"/>
      <c r="D66" s="11"/>
      <c r="E66" s="17"/>
      <c r="F66" s="11"/>
      <c r="G66" s="11"/>
      <c r="H66" s="11"/>
      <c r="I66" s="11"/>
      <c r="J66" s="13"/>
      <c r="K66" s="11"/>
      <c r="L66" s="11"/>
      <c r="M66" s="11"/>
      <c r="N66" s="14"/>
      <c r="O66" s="15"/>
      <c r="P66" s="15"/>
      <c r="Q66" s="16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20" customHeight="1" x14ac:dyDescent="0.25">
      <c r="A67" s="11"/>
      <c r="B67" s="11"/>
      <c r="C67" s="11"/>
      <c r="D67" s="11"/>
      <c r="E67" s="17"/>
      <c r="F67" s="11"/>
      <c r="G67" s="11"/>
      <c r="H67" s="11"/>
      <c r="I67" s="11"/>
      <c r="J67" s="13"/>
      <c r="K67" s="11"/>
      <c r="L67" s="11"/>
      <c r="M67" s="11"/>
      <c r="N67" s="14"/>
      <c r="O67" s="15"/>
      <c r="P67" s="15"/>
      <c r="Q67" s="16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20" customHeight="1" x14ac:dyDescent="0.25">
      <c r="A68" s="11"/>
      <c r="B68" s="11"/>
      <c r="C68" s="11"/>
      <c r="D68" s="11"/>
      <c r="E68" s="17"/>
      <c r="F68" s="11"/>
      <c r="G68" s="11"/>
      <c r="H68" s="11"/>
      <c r="I68" s="11"/>
      <c r="J68" s="13"/>
      <c r="K68" s="11"/>
      <c r="L68" s="11"/>
      <c r="M68" s="11"/>
      <c r="N68" s="14"/>
      <c r="O68" s="15"/>
      <c r="P68" s="15"/>
      <c r="Q68" s="16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20" customHeight="1" x14ac:dyDescent="0.25">
      <c r="A69" s="11"/>
      <c r="B69" s="11"/>
      <c r="C69" s="11"/>
      <c r="D69" s="11"/>
      <c r="E69" s="17"/>
      <c r="F69" s="11"/>
      <c r="G69" s="11"/>
      <c r="H69" s="11"/>
      <c r="I69" s="11"/>
      <c r="J69" s="13"/>
      <c r="K69" s="11"/>
      <c r="L69" s="11"/>
      <c r="M69" s="11"/>
      <c r="N69" s="14"/>
      <c r="O69" s="15"/>
      <c r="P69" s="15"/>
      <c r="Q69" s="16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20" customHeight="1" x14ac:dyDescent="0.25">
      <c r="A70" s="11"/>
      <c r="B70" s="11"/>
      <c r="C70" s="11"/>
      <c r="D70" s="11"/>
      <c r="E70" s="17"/>
      <c r="F70" s="11"/>
      <c r="G70" s="11"/>
      <c r="H70" s="11"/>
      <c r="I70" s="11"/>
      <c r="J70" s="13"/>
      <c r="K70" s="11"/>
      <c r="L70" s="11"/>
      <c r="M70" s="11"/>
      <c r="N70" s="14"/>
      <c r="O70" s="15"/>
      <c r="P70" s="15"/>
      <c r="Q70" s="16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20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3"/>
      <c r="K71" s="11"/>
      <c r="L71" s="11"/>
      <c r="M71" s="11"/>
      <c r="N71" s="8"/>
      <c r="O71" s="6"/>
      <c r="P71" s="6"/>
      <c r="Q71" s="6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20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3"/>
      <c r="K72" s="11"/>
      <c r="L72" s="11"/>
      <c r="M72" s="11"/>
      <c r="N72" s="8"/>
      <c r="O72" s="6"/>
      <c r="P72" s="6"/>
      <c r="Q72" s="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20" customHeight="1" x14ac:dyDescent="0.25">
      <c r="A73" s="11"/>
      <c r="B73" s="11"/>
      <c r="C73" s="11"/>
      <c r="D73" s="11"/>
      <c r="E73" s="2"/>
      <c r="F73" s="2"/>
      <c r="G73" s="2"/>
      <c r="H73" s="2"/>
      <c r="I73" s="5"/>
      <c r="J73" s="4"/>
      <c r="K73" s="2"/>
      <c r="L73" s="5"/>
      <c r="M73" s="2"/>
      <c r="N73" s="4"/>
      <c r="O73" s="7"/>
      <c r="P73" s="7"/>
      <c r="Q73" s="7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</sheetData>
  <mergeCells count="18">
    <mergeCell ref="A57:C57"/>
    <mergeCell ref="A58:C63"/>
    <mergeCell ref="A37:C42"/>
    <mergeCell ref="A43:C43"/>
    <mergeCell ref="A44:C49"/>
    <mergeCell ref="A50:C50"/>
    <mergeCell ref="A51:C56"/>
    <mergeCell ref="A2:C7"/>
    <mergeCell ref="A8:C8"/>
    <mergeCell ref="A9:C14"/>
    <mergeCell ref="A15:C15"/>
    <mergeCell ref="A16:C21"/>
    <mergeCell ref="A1:C1"/>
    <mergeCell ref="A36:C36"/>
    <mergeCell ref="A22:C22"/>
    <mergeCell ref="A23:C28"/>
    <mergeCell ref="A29:C29"/>
    <mergeCell ref="A30:C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2026-03-31T07:00:48Z</dcterms:modified>
</cp:coreProperties>
</file>