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数据对比\卡勾数据对比\"/>
    </mc:Choice>
  </mc:AlternateContent>
  <xr:revisionPtr revIDLastSave="0" documentId="13_ncr:1_{36E0BD18-8A75-49F6-BE54-1A9DBA655BCB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M10" i="1"/>
  <c r="J10" i="1"/>
  <c r="N18" i="1"/>
  <c r="M18" i="1"/>
  <c r="J18" i="1"/>
  <c r="N14" i="1"/>
  <c r="M14" i="1"/>
  <c r="J14" i="1"/>
  <c r="N2" i="1"/>
  <c r="M2" i="1"/>
  <c r="J2" i="1"/>
  <c r="N6" i="1"/>
  <c r="M6" i="1"/>
  <c r="J6" i="1"/>
  <c r="N15" i="1"/>
  <c r="M15" i="1"/>
  <c r="J15" i="1"/>
  <c r="Q16" i="1" l="1"/>
  <c r="P16" i="1"/>
  <c r="O16" i="1"/>
  <c r="L16" i="1"/>
  <c r="K16" i="1"/>
  <c r="I16" i="1"/>
  <c r="H16" i="1"/>
  <c r="G16" i="1"/>
  <c r="F16" i="1"/>
  <c r="E16" i="1"/>
  <c r="N16" i="1"/>
  <c r="M16" i="1"/>
  <c r="J16" i="1"/>
  <c r="Q8" i="1"/>
  <c r="P8" i="1"/>
  <c r="O8" i="1"/>
  <c r="L8" i="1"/>
  <c r="K8" i="1"/>
  <c r="I8" i="1"/>
  <c r="H8" i="1"/>
  <c r="G8" i="1"/>
  <c r="F8" i="1"/>
  <c r="E8" i="1"/>
  <c r="N7" i="1"/>
  <c r="M7" i="1"/>
  <c r="J7" i="1"/>
  <c r="J8" i="1" s="1"/>
  <c r="N8" i="1"/>
  <c r="M8" i="1"/>
  <c r="Q4" i="1"/>
  <c r="P4" i="1"/>
  <c r="O4" i="1"/>
  <c r="L4" i="1"/>
  <c r="K4" i="1"/>
  <c r="I4" i="1"/>
  <c r="H4" i="1"/>
  <c r="G4" i="1"/>
  <c r="F4" i="1"/>
  <c r="E4" i="1"/>
  <c r="N3" i="1"/>
  <c r="M3" i="1"/>
  <c r="J3" i="1"/>
  <c r="N19" i="1"/>
  <c r="M19" i="1"/>
  <c r="J19" i="1"/>
  <c r="N11" i="1"/>
  <c r="M11" i="1"/>
  <c r="J11" i="1"/>
  <c r="M4" i="1" l="1"/>
  <c r="J4" i="1"/>
  <c r="N4" i="1"/>
  <c r="Q20" i="1"/>
  <c r="P20" i="1"/>
  <c r="O20" i="1"/>
  <c r="L20" i="1"/>
  <c r="K20" i="1"/>
  <c r="I20" i="1"/>
  <c r="H20" i="1"/>
  <c r="G20" i="1"/>
  <c r="F20" i="1"/>
  <c r="E20" i="1"/>
  <c r="N20" i="1"/>
  <c r="J20" i="1"/>
  <c r="L12" i="1"/>
  <c r="I12" i="1"/>
  <c r="N12" i="1"/>
  <c r="F12" i="1"/>
  <c r="G12" i="1"/>
  <c r="Q12" i="1"/>
  <c r="P12" i="1"/>
  <c r="O12" i="1"/>
  <c r="K12" i="1"/>
  <c r="H12" i="1"/>
  <c r="E12" i="1"/>
  <c r="M20" i="1" l="1"/>
  <c r="M12" i="1"/>
  <c r="J12" i="1"/>
</calcChain>
</file>

<file path=xl/sharedStrings.xml><?xml version="1.0" encoding="utf-8"?>
<sst xmlns="http://schemas.openxmlformats.org/spreadsheetml/2006/main" count="95" uniqueCount="23">
  <si>
    <t>选手</t>
    <phoneticPr fontId="1" type="noConversion"/>
  </si>
  <si>
    <t>比赛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</si>
  <si>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</si>
  <si>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</si>
  <si>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</si>
  <si>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</si>
  <si>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</si>
  <si>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</si>
  <si>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</si>
  <si>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</si>
  <si>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</si>
  <si>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</si>
  <si>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</si>
  <si>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</si>
  <si>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</si>
  <si>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</si>
  <si>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</si>
  <si>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Y5-Championship</t>
    <phoneticPr fontId="1" type="noConversion"/>
  </si>
  <si>
    <t>Y5-S1 Open</t>
    <phoneticPr fontId="1" type="noConversion"/>
  </si>
  <si>
    <t>Y4-Championship</t>
    <phoneticPr fontId="1" type="noConversion"/>
  </si>
  <si>
    <t>Kassa</t>
    <phoneticPr fontId="1" type="noConversion"/>
  </si>
  <si>
    <t>Zer0</t>
    <phoneticPr fontId="1" type="noConversion"/>
  </si>
  <si>
    <t>Kassa-Zer0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</si>
</sst>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zoomScaleNormal="100" workbookViewId="0">
      <selection activeCell="S10" sqref="S10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2" t="s">
        <v>1</v>
      </c>
      <c r="B1" s="12"/>
      <c r="C1" s="12"/>
      <c r="D1" s="9" t="s">
        <v>0</v>
      </c>
      <c r="E1" s="9" t="s">
        <v>2</v>
      </c>
      <c r="F1" s="9" t="s">
        <v>13</v>
      </c>
      <c r="G1" s="9" t="s">
        <v>3</v>
      </c>
      <c r="H1" s="9" t="s">
        <v>4</v>
      </c>
      <c r="I1" s="9" t="s">
        <v>11</v>
      </c>
      <c r="J1" s="9" t="s">
        <v>12</v>
      </c>
      <c r="K1" s="9" t="s">
        <v>5</v>
      </c>
      <c r="L1" s="9" t="s">
        <v>6</v>
      </c>
      <c r="M1" s="9" t="s">
        <v>7</v>
      </c>
      <c r="N1" s="9" t="s">
        <v>14</v>
      </c>
      <c r="O1" s="9" t="s">
        <v>9</v>
      </c>
      <c r="P1" s="9" t="s">
        <v>8</v>
      </c>
      <c r="Q1" s="9" t="s">
        <v>10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2" t="s">
        <v>17</v>
      </c>
      <c r="B2" s="12"/>
      <c r="C2" s="12"/>
      <c r="D2" s="9" t="s">
        <v>20</v>
      </c>
      <c r="E2" s="10">
        <v>25</v>
      </c>
      <c r="F2" s="10">
        <v>30</v>
      </c>
      <c r="G2" s="10">
        <v>17</v>
      </c>
      <c r="H2" s="10">
        <v>21</v>
      </c>
      <c r="I2" s="10">
        <v>35</v>
      </c>
      <c r="J2" s="3">
        <f>(G2+H2)/I2</f>
        <v>1.0857142857142856</v>
      </c>
      <c r="K2" s="10">
        <v>15917</v>
      </c>
      <c r="L2" s="10">
        <v>19533</v>
      </c>
      <c r="M2" s="10">
        <f>K2-L2</f>
        <v>-3616</v>
      </c>
      <c r="N2" s="8">
        <f>K2/F2</f>
        <v>530.56666666666672</v>
      </c>
      <c r="O2" s="6">
        <v>0.433</v>
      </c>
      <c r="P2" s="6">
        <v>0.38500000000000001</v>
      </c>
      <c r="Q2" s="6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2"/>
      <c r="B3" s="12"/>
      <c r="C3" s="12"/>
      <c r="D3" s="9" t="s">
        <v>21</v>
      </c>
      <c r="E3" s="9">
        <v>33</v>
      </c>
      <c r="F3" s="9">
        <v>24</v>
      </c>
      <c r="G3" s="9">
        <v>21</v>
      </c>
      <c r="H3" s="9">
        <v>19</v>
      </c>
      <c r="I3" s="9">
        <v>25</v>
      </c>
      <c r="J3" s="3">
        <f>(G3+H3)/I3</f>
        <v>1.6</v>
      </c>
      <c r="K3" s="9">
        <v>15615</v>
      </c>
      <c r="L3" s="9">
        <v>20857</v>
      </c>
      <c r="M3" s="9">
        <f>K3-L3</f>
        <v>-5242</v>
      </c>
      <c r="N3" s="8">
        <f>K3/F3</f>
        <v>650.625</v>
      </c>
      <c r="O3" s="6">
        <v>0.45800000000000002</v>
      </c>
      <c r="P3" s="6">
        <v>0.27300000000000002</v>
      </c>
      <c r="Q3" s="6">
        <v>0.33300000000000002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2"/>
      <c r="B4" s="12"/>
      <c r="C4" s="12"/>
      <c r="D4" s="9" t="s">
        <v>22</v>
      </c>
      <c r="E4" s="2">
        <f>E3-E2</f>
        <v>8</v>
      </c>
      <c r="F4" s="2">
        <f t="shared" ref="F4:I4" si="0">F2-F3</f>
        <v>6</v>
      </c>
      <c r="G4" s="2">
        <f t="shared" si="0"/>
        <v>-4</v>
      </c>
      <c r="H4" s="2">
        <f t="shared" si="0"/>
        <v>2</v>
      </c>
      <c r="I4" s="5">
        <f t="shared" si="0"/>
        <v>10</v>
      </c>
      <c r="J4" s="4">
        <f>J2-J3</f>
        <v>-0.51428571428571446</v>
      </c>
      <c r="K4" s="2">
        <f t="shared" ref="K4:M4" si="1">K2-K3</f>
        <v>302</v>
      </c>
      <c r="L4" s="5">
        <f t="shared" si="1"/>
        <v>-1324</v>
      </c>
      <c r="M4" s="2">
        <f t="shared" si="1"/>
        <v>1626</v>
      </c>
      <c r="N4" s="4">
        <f>N2-N3</f>
        <v>-120.05833333333328</v>
      </c>
      <c r="O4" s="7">
        <f t="shared" ref="O4:Q4" si="2">O2-O3</f>
        <v>-2.5000000000000022E-2</v>
      </c>
      <c r="P4" s="7">
        <f t="shared" si="2"/>
        <v>0.11199999999999999</v>
      </c>
      <c r="Q4" s="7">
        <f t="shared" si="2"/>
        <v>-0.33300000000000002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2" t="s">
        <v>1</v>
      </c>
      <c r="B5" s="12"/>
      <c r="C5" s="12"/>
      <c r="D5" s="10" t="s">
        <v>0</v>
      </c>
      <c r="E5" s="10" t="s">
        <v>2</v>
      </c>
      <c r="F5" s="10" t="s">
        <v>13</v>
      </c>
      <c r="G5" s="10" t="s">
        <v>3</v>
      </c>
      <c r="H5" s="10" t="s">
        <v>4</v>
      </c>
      <c r="I5" s="10" t="s">
        <v>11</v>
      </c>
      <c r="J5" s="10" t="s">
        <v>12</v>
      </c>
      <c r="K5" s="10" t="s">
        <v>5</v>
      </c>
      <c r="L5" s="10" t="s">
        <v>6</v>
      </c>
      <c r="M5" s="10" t="s">
        <v>7</v>
      </c>
      <c r="N5" s="10" t="s">
        <v>14</v>
      </c>
      <c r="O5" s="10" t="s">
        <v>9</v>
      </c>
      <c r="P5" s="10" t="s">
        <v>8</v>
      </c>
      <c r="Q5" s="10" t="s">
        <v>10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2" t="s">
        <v>15</v>
      </c>
      <c r="B6" s="12"/>
      <c r="C6" s="12"/>
      <c r="D6" s="11" t="s">
        <v>20</v>
      </c>
      <c r="E6" s="10">
        <v>1</v>
      </c>
      <c r="F6" s="10">
        <v>19</v>
      </c>
      <c r="G6" s="10">
        <v>23</v>
      </c>
      <c r="H6" s="10">
        <v>27</v>
      </c>
      <c r="I6" s="10">
        <v>16</v>
      </c>
      <c r="J6" s="3">
        <f>(G6+H6)/I6</f>
        <v>3.125</v>
      </c>
      <c r="K6" s="10">
        <v>13896</v>
      </c>
      <c r="L6" s="10">
        <v>13984</v>
      </c>
      <c r="M6" s="10">
        <f>K6-L6</f>
        <v>-88</v>
      </c>
      <c r="N6" s="8">
        <f>K6/F6</f>
        <v>731.36842105263156</v>
      </c>
      <c r="O6" s="6">
        <v>0.73699999999999999</v>
      </c>
      <c r="P6" s="6">
        <v>0.64300000000000002</v>
      </c>
      <c r="Q6" s="6">
        <v>0.33300000000000002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2"/>
      <c r="B7" s="12"/>
      <c r="C7" s="12"/>
      <c r="D7" s="11" t="s">
        <v>21</v>
      </c>
      <c r="E7" s="10">
        <v>6</v>
      </c>
      <c r="F7" s="10">
        <v>19</v>
      </c>
      <c r="G7" s="10">
        <v>33</v>
      </c>
      <c r="H7" s="10">
        <v>21</v>
      </c>
      <c r="I7" s="10">
        <v>23</v>
      </c>
      <c r="J7" s="3">
        <f>(G7+H7)/I7</f>
        <v>2.347826086956522</v>
      </c>
      <c r="K7" s="10">
        <v>16395</v>
      </c>
      <c r="L7" s="10">
        <v>19415</v>
      </c>
      <c r="M7" s="10">
        <f>K7-L7</f>
        <v>-3020</v>
      </c>
      <c r="N7" s="8">
        <f>K7/F7</f>
        <v>862.89473684210532</v>
      </c>
      <c r="O7" s="6">
        <v>0.63200000000000001</v>
      </c>
      <c r="P7" s="6">
        <v>0.83299999999999996</v>
      </c>
      <c r="Q7" s="6">
        <v>0.1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2"/>
      <c r="B8" s="12"/>
      <c r="C8" s="12"/>
      <c r="D8" s="11" t="s">
        <v>22</v>
      </c>
      <c r="E8" s="2">
        <f>E7-E6</f>
        <v>5</v>
      </c>
      <c r="F8" s="2">
        <f t="shared" ref="F8:I8" si="3">F6-F7</f>
        <v>0</v>
      </c>
      <c r="G8" s="2">
        <f t="shared" si="3"/>
        <v>-10</v>
      </c>
      <c r="H8" s="2">
        <f t="shared" si="3"/>
        <v>6</v>
      </c>
      <c r="I8" s="5">
        <f t="shared" si="3"/>
        <v>-7</v>
      </c>
      <c r="J8" s="4">
        <f>J6-J7</f>
        <v>0.77717391304347805</v>
      </c>
      <c r="K8" s="2">
        <f t="shared" ref="K8:Q8" si="4">K6-K7</f>
        <v>-2499</v>
      </c>
      <c r="L8" s="5">
        <f t="shared" si="4"/>
        <v>-5431</v>
      </c>
      <c r="M8" s="2">
        <f t="shared" si="4"/>
        <v>2932</v>
      </c>
      <c r="N8" s="4">
        <f t="shared" si="4"/>
        <v>-131.52631578947376</v>
      </c>
      <c r="O8" s="7">
        <f t="shared" si="4"/>
        <v>0.10499999999999998</v>
      </c>
      <c r="P8" s="7">
        <f t="shared" si="4"/>
        <v>-0.18999999999999995</v>
      </c>
      <c r="Q8" s="7">
        <f t="shared" si="4"/>
        <v>0.23300000000000001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2" t="s">
        <v>1</v>
      </c>
      <c r="B9" s="12"/>
      <c r="C9" s="12"/>
      <c r="D9" s="9" t="s">
        <v>0</v>
      </c>
      <c r="E9" s="9" t="s">
        <v>2</v>
      </c>
      <c r="F9" s="9" t="s">
        <v>13</v>
      </c>
      <c r="G9" s="9" t="s">
        <v>3</v>
      </c>
      <c r="H9" s="9" t="s">
        <v>4</v>
      </c>
      <c r="I9" s="9" t="s">
        <v>11</v>
      </c>
      <c r="J9" s="9" t="s">
        <v>12</v>
      </c>
      <c r="K9" s="9" t="s">
        <v>5</v>
      </c>
      <c r="L9" s="9" t="s">
        <v>6</v>
      </c>
      <c r="M9" s="9" t="s">
        <v>7</v>
      </c>
      <c r="N9" s="9" t="s">
        <v>14</v>
      </c>
      <c r="O9" s="9" t="s">
        <v>9</v>
      </c>
      <c r="P9" s="9" t="s">
        <v>8</v>
      </c>
      <c r="Q9" s="9" t="s">
        <v>10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2" t="s">
        <v>18</v>
      </c>
      <c r="B10" s="12"/>
      <c r="C10" s="12"/>
      <c r="D10" s="11" t="s">
        <v>20</v>
      </c>
      <c r="E10" s="10">
        <v>17</v>
      </c>
      <c r="F10" s="10">
        <v>36</v>
      </c>
      <c r="G10" s="10">
        <v>32</v>
      </c>
      <c r="H10" s="10">
        <v>36</v>
      </c>
      <c r="I10" s="10">
        <v>45</v>
      </c>
      <c r="J10" s="3">
        <f>(G10+H10)/I10</f>
        <v>1.5111111111111111</v>
      </c>
      <c r="K10" s="10">
        <v>21875</v>
      </c>
      <c r="L10" s="10">
        <v>28142</v>
      </c>
      <c r="M10" s="10">
        <f>K10-L10</f>
        <v>-6267</v>
      </c>
      <c r="N10" s="8">
        <f>K10/F10</f>
        <v>607.63888888888891</v>
      </c>
      <c r="O10" s="6">
        <v>0.63900000000000001</v>
      </c>
      <c r="P10" s="6">
        <v>0.65200000000000002</v>
      </c>
      <c r="Q10" s="6">
        <v>0.13300000000000001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2"/>
      <c r="B11" s="12"/>
      <c r="C11" s="12"/>
      <c r="D11" s="11" t="s">
        <v>21</v>
      </c>
      <c r="E11" s="9">
        <v>1</v>
      </c>
      <c r="F11" s="9">
        <v>48</v>
      </c>
      <c r="G11" s="9">
        <v>110</v>
      </c>
      <c r="H11" s="9">
        <v>111</v>
      </c>
      <c r="I11" s="9">
        <v>41</v>
      </c>
      <c r="J11" s="3">
        <f>(G11+H11)/I11</f>
        <v>5.3902439024390247</v>
      </c>
      <c r="K11" s="9">
        <v>48088</v>
      </c>
      <c r="L11" s="9">
        <v>45905</v>
      </c>
      <c r="M11" s="9">
        <f>K11-L11</f>
        <v>2183</v>
      </c>
      <c r="N11" s="8">
        <f>K11/F11</f>
        <v>1001.8333333333334</v>
      </c>
      <c r="O11" s="6">
        <v>0.66700000000000004</v>
      </c>
      <c r="P11" s="6">
        <v>0.75</v>
      </c>
      <c r="Q11" s="6">
        <v>0.45800000000000002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2"/>
      <c r="B12" s="12"/>
      <c r="C12" s="12"/>
      <c r="D12" s="11" t="s">
        <v>22</v>
      </c>
      <c r="E12" s="2">
        <f>E11-E10</f>
        <v>-16</v>
      </c>
      <c r="F12" s="2">
        <f t="shared" ref="F12:G12" si="5">F10-F11</f>
        <v>-12</v>
      </c>
      <c r="G12" s="2">
        <f t="shared" si="5"/>
        <v>-78</v>
      </c>
      <c r="H12" s="2">
        <f t="shared" ref="H12:I12" si="6">H10-H11</f>
        <v>-75</v>
      </c>
      <c r="I12" s="5">
        <f t="shared" si="6"/>
        <v>4</v>
      </c>
      <c r="J12" s="4">
        <f>J10-J11</f>
        <v>-3.8791327913279137</v>
      </c>
      <c r="K12" s="2">
        <f t="shared" ref="K12:L12" si="7">K10-K11</f>
        <v>-26213</v>
      </c>
      <c r="L12" s="5">
        <f t="shared" si="7"/>
        <v>-17763</v>
      </c>
      <c r="M12" s="2">
        <f t="shared" ref="M12:N12" si="8">M10-M11</f>
        <v>-8450</v>
      </c>
      <c r="N12" s="4">
        <f t="shared" si="8"/>
        <v>-394.19444444444446</v>
      </c>
      <c r="O12" s="7">
        <f t="shared" ref="O12" si="9">O10-O11</f>
        <v>-2.8000000000000025E-2</v>
      </c>
      <c r="P12" s="7">
        <f t="shared" ref="P12" si="10">P10-P11</f>
        <v>-9.7999999999999976E-2</v>
      </c>
      <c r="Q12" s="7">
        <f t="shared" ref="Q12" si="11">Q10-Q11</f>
        <v>-0.32500000000000001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2" t="s">
        <v>1</v>
      </c>
      <c r="B13" s="12"/>
      <c r="C13" s="12"/>
      <c r="D13" s="10" t="s">
        <v>0</v>
      </c>
      <c r="E13" s="10" t="s">
        <v>2</v>
      </c>
      <c r="F13" s="10" t="s">
        <v>13</v>
      </c>
      <c r="G13" s="10" t="s">
        <v>3</v>
      </c>
      <c r="H13" s="10" t="s">
        <v>4</v>
      </c>
      <c r="I13" s="10" t="s">
        <v>11</v>
      </c>
      <c r="J13" s="10" t="s">
        <v>12</v>
      </c>
      <c r="K13" s="10" t="s">
        <v>5</v>
      </c>
      <c r="L13" s="10" t="s">
        <v>6</v>
      </c>
      <c r="M13" s="10" t="s">
        <v>7</v>
      </c>
      <c r="N13" s="10" t="s">
        <v>14</v>
      </c>
      <c r="O13" s="10" t="s">
        <v>9</v>
      </c>
      <c r="P13" s="10" t="s">
        <v>8</v>
      </c>
      <c r="Q13" s="10" t="s">
        <v>10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2" t="s">
        <v>19</v>
      </c>
      <c r="B14" s="12"/>
      <c r="C14" s="12"/>
      <c r="D14" s="11" t="s">
        <v>20</v>
      </c>
      <c r="E14" s="10">
        <v>9</v>
      </c>
      <c r="F14" s="10">
        <v>43</v>
      </c>
      <c r="G14" s="10">
        <v>52</v>
      </c>
      <c r="H14" s="10">
        <v>41</v>
      </c>
      <c r="I14" s="10">
        <v>51</v>
      </c>
      <c r="J14" s="3">
        <f>(G14+H14)/I14</f>
        <v>1.8235294117647058</v>
      </c>
      <c r="K14" s="10">
        <v>29785</v>
      </c>
      <c r="L14" s="10">
        <v>36524</v>
      </c>
      <c r="M14" s="10">
        <f>K14-L14</f>
        <v>-6739</v>
      </c>
      <c r="N14" s="8">
        <f t="shared" ref="N14" si="12">K14/F14</f>
        <v>692.67441860465112</v>
      </c>
      <c r="O14" s="6">
        <v>0.65100000000000002</v>
      </c>
      <c r="P14" s="6">
        <v>0.57099999999999995</v>
      </c>
      <c r="Q14" s="6">
        <v>6.3E-2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2"/>
      <c r="B15" s="12"/>
      <c r="C15" s="12"/>
      <c r="D15" s="11" t="s">
        <v>21</v>
      </c>
      <c r="E15" s="10">
        <v>3</v>
      </c>
      <c r="F15" s="10">
        <v>43</v>
      </c>
      <c r="G15" s="10">
        <v>62</v>
      </c>
      <c r="H15" s="10">
        <v>70</v>
      </c>
      <c r="I15" s="10">
        <v>45</v>
      </c>
      <c r="J15" s="3">
        <f>(G15+H15)/I15</f>
        <v>2.9333333333333331</v>
      </c>
      <c r="K15" s="10">
        <v>39622</v>
      </c>
      <c r="L15" s="10">
        <v>41724</v>
      </c>
      <c r="M15" s="10">
        <f>K15-L15</f>
        <v>-2102</v>
      </c>
      <c r="N15" s="8">
        <f t="shared" ref="N15" si="13">K15/F15</f>
        <v>921.44186046511629</v>
      </c>
      <c r="O15" s="6">
        <v>0.55800000000000005</v>
      </c>
      <c r="P15" s="6">
        <v>0.66700000000000004</v>
      </c>
      <c r="Q15" s="6">
        <v>0.188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2"/>
      <c r="B16" s="12"/>
      <c r="C16" s="12"/>
      <c r="D16" s="11" t="s">
        <v>22</v>
      </c>
      <c r="E16" s="2">
        <f>E15-E14</f>
        <v>-6</v>
      </c>
      <c r="F16" s="2">
        <f t="shared" ref="F16:I16" si="14">F14-F15</f>
        <v>0</v>
      </c>
      <c r="G16" s="2">
        <f t="shared" si="14"/>
        <v>-10</v>
      </c>
      <c r="H16" s="2">
        <f t="shared" si="14"/>
        <v>-29</v>
      </c>
      <c r="I16" s="5">
        <f t="shared" si="14"/>
        <v>6</v>
      </c>
      <c r="J16" s="4">
        <f>J14-J15</f>
        <v>-1.1098039215686273</v>
      </c>
      <c r="K16" s="2">
        <f t="shared" ref="K16:M16" si="15">K14-K15</f>
        <v>-9837</v>
      </c>
      <c r="L16" s="5">
        <f t="shared" si="15"/>
        <v>-5200</v>
      </c>
      <c r="M16" s="2">
        <f t="shared" si="15"/>
        <v>-4637</v>
      </c>
      <c r="N16" s="4">
        <f>N14-N15</f>
        <v>-228.76744186046517</v>
      </c>
      <c r="O16" s="7">
        <f t="shared" ref="O16:Q16" si="16">O14-O15</f>
        <v>9.2999999999999972E-2</v>
      </c>
      <c r="P16" s="7">
        <f t="shared" si="16"/>
        <v>-9.6000000000000085E-2</v>
      </c>
      <c r="Q16" s="7">
        <f t="shared" si="16"/>
        <v>-0.125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2" t="s">
        <v>1</v>
      </c>
      <c r="B17" s="12"/>
      <c r="C17" s="12"/>
      <c r="D17" s="9" t="s">
        <v>0</v>
      </c>
      <c r="E17" s="9" t="s">
        <v>2</v>
      </c>
      <c r="F17" s="9" t="s">
        <v>13</v>
      </c>
      <c r="G17" s="9" t="s">
        <v>3</v>
      </c>
      <c r="H17" s="9" t="s">
        <v>4</v>
      </c>
      <c r="I17" s="9" t="s">
        <v>11</v>
      </c>
      <c r="J17" s="9" t="s">
        <v>12</v>
      </c>
      <c r="K17" s="9" t="s">
        <v>5</v>
      </c>
      <c r="L17" s="9" t="s">
        <v>6</v>
      </c>
      <c r="M17" s="9" t="s">
        <v>7</v>
      </c>
      <c r="N17" s="9" t="s">
        <v>14</v>
      </c>
      <c r="O17" s="9" t="s">
        <v>9</v>
      </c>
      <c r="P17" s="9" t="s">
        <v>8</v>
      </c>
      <c r="Q17" s="9" t="s">
        <v>10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2" t="s">
        <v>16</v>
      </c>
      <c r="B18" s="12"/>
      <c r="C18" s="12"/>
      <c r="D18" s="11" t="s">
        <v>20</v>
      </c>
      <c r="E18" s="10">
        <v>8</v>
      </c>
      <c r="F18" s="10">
        <v>34</v>
      </c>
      <c r="G18" s="10">
        <v>17</v>
      </c>
      <c r="H18" s="10">
        <v>50</v>
      </c>
      <c r="I18" s="10">
        <v>36</v>
      </c>
      <c r="J18" s="3">
        <f>(G18+H18)/I18</f>
        <v>1.8611111111111112</v>
      </c>
      <c r="K18" s="10">
        <v>18416</v>
      </c>
      <c r="L18" s="10">
        <v>18431</v>
      </c>
      <c r="M18" s="10">
        <f>K18-L18</f>
        <v>-15</v>
      </c>
      <c r="N18" s="8">
        <f t="shared" ref="N18" si="17">K18/F18</f>
        <v>541.64705882352939</v>
      </c>
      <c r="O18" s="6">
        <v>0.64700000000000002</v>
      </c>
      <c r="P18" s="6">
        <v>0.54500000000000004</v>
      </c>
      <c r="Q18" s="6">
        <v>8.3000000000000004E-2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2"/>
      <c r="B19" s="12"/>
      <c r="C19" s="12"/>
      <c r="D19" s="11" t="s">
        <v>21</v>
      </c>
      <c r="E19" s="9">
        <v>20</v>
      </c>
      <c r="F19" s="9">
        <v>34</v>
      </c>
      <c r="G19" s="9">
        <v>41</v>
      </c>
      <c r="H19" s="9">
        <v>45</v>
      </c>
      <c r="I19" s="9">
        <v>33</v>
      </c>
      <c r="J19" s="3">
        <f>(G19+H19)/I19</f>
        <v>2.606060606060606</v>
      </c>
      <c r="K19" s="9">
        <v>21445</v>
      </c>
      <c r="L19" s="9">
        <v>27145</v>
      </c>
      <c r="M19" s="9">
        <f>K19-L19</f>
        <v>-5700</v>
      </c>
      <c r="N19" s="8">
        <f t="shared" ref="N19" si="18">K19/F19</f>
        <v>630.73529411764707</v>
      </c>
      <c r="O19" s="6">
        <v>0.41199999999999998</v>
      </c>
      <c r="P19" s="6">
        <v>0.5</v>
      </c>
      <c r="Q19" s="6">
        <v>0.42899999999999999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2"/>
      <c r="B20" s="12"/>
      <c r="C20" s="12"/>
      <c r="D20" s="11" t="s">
        <v>22</v>
      </c>
      <c r="E20" s="2">
        <f>E19-E18</f>
        <v>12</v>
      </c>
      <c r="F20" s="2">
        <f t="shared" ref="F20:I20" si="19">F18-F19</f>
        <v>0</v>
      </c>
      <c r="G20" s="2">
        <f t="shared" si="19"/>
        <v>-24</v>
      </c>
      <c r="H20" s="2">
        <f t="shared" si="19"/>
        <v>5</v>
      </c>
      <c r="I20" s="5">
        <f t="shared" si="19"/>
        <v>3</v>
      </c>
      <c r="J20" s="4">
        <f>J18-J19</f>
        <v>-0.74494949494949481</v>
      </c>
      <c r="K20" s="2">
        <f t="shared" ref="K20:Q20" si="20">K18-K19</f>
        <v>-3029</v>
      </c>
      <c r="L20" s="5">
        <f t="shared" si="20"/>
        <v>-8714</v>
      </c>
      <c r="M20" s="2">
        <f t="shared" si="20"/>
        <v>5685</v>
      </c>
      <c r="N20" s="4">
        <f t="shared" si="20"/>
        <v>-89.08823529411768</v>
      </c>
      <c r="O20" s="7">
        <f t="shared" si="20"/>
        <v>0.23500000000000004</v>
      </c>
      <c r="P20" s="7">
        <f t="shared" si="20"/>
        <v>4.500000000000004E-2</v>
      </c>
      <c r="Q20" s="7">
        <f t="shared" si="20"/>
        <v>-0.34599999999999997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2"/>
      <c r="B21" s="12"/>
      <c r="C21" s="1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2"/>
      <c r="B22" s="12"/>
      <c r="C22" s="12"/>
      <c r="D22" s="9"/>
      <c r="E22" s="9"/>
      <c r="F22" s="9"/>
      <c r="G22" s="9"/>
      <c r="H22" s="9"/>
      <c r="I22" s="9"/>
      <c r="J22" s="3"/>
      <c r="K22" s="9"/>
      <c r="L22" s="9"/>
      <c r="M22" s="9"/>
      <c r="N22" s="8"/>
      <c r="O22" s="6"/>
      <c r="P22" s="6"/>
      <c r="Q22" s="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2"/>
      <c r="B23" s="12"/>
      <c r="C23" s="12"/>
      <c r="D23" s="9"/>
      <c r="E23" s="9"/>
      <c r="F23" s="9"/>
      <c r="G23" s="9"/>
      <c r="H23" s="9"/>
      <c r="I23" s="9"/>
      <c r="J23" s="3"/>
      <c r="K23" s="9"/>
      <c r="L23" s="9"/>
      <c r="M23" s="9"/>
      <c r="N23" s="8"/>
      <c r="O23" s="6"/>
      <c r="P23" s="6"/>
      <c r="Q23" s="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2"/>
      <c r="B24" s="12"/>
      <c r="C24" s="12"/>
      <c r="D24" s="9"/>
      <c r="E24" s="2"/>
      <c r="F24" s="2"/>
      <c r="G24" s="2"/>
      <c r="H24" s="2"/>
      <c r="I24" s="5"/>
      <c r="J24" s="4"/>
      <c r="K24" s="2"/>
      <c r="L24" s="5"/>
      <c r="M24" s="2"/>
      <c r="N24" s="4"/>
      <c r="O24" s="7"/>
      <c r="P24" s="7"/>
      <c r="Q24" s="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2"/>
      <c r="B25" s="12"/>
      <c r="C25" s="1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2"/>
      <c r="B26" s="12"/>
      <c r="C26" s="12"/>
      <c r="D26" s="9"/>
      <c r="E26" s="9"/>
      <c r="F26" s="9"/>
      <c r="G26" s="9"/>
      <c r="H26" s="9"/>
      <c r="I26" s="9"/>
      <c r="J26" s="3"/>
      <c r="K26" s="9"/>
      <c r="L26" s="9"/>
      <c r="M26" s="9"/>
      <c r="N26" s="8"/>
      <c r="O26" s="6"/>
      <c r="P26" s="6"/>
      <c r="Q26" s="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2"/>
      <c r="B27" s="12"/>
      <c r="C27" s="12"/>
      <c r="D27" s="9"/>
      <c r="E27" s="9"/>
      <c r="F27" s="9"/>
      <c r="G27" s="9"/>
      <c r="H27" s="9"/>
      <c r="I27" s="9"/>
      <c r="J27" s="3"/>
      <c r="K27" s="9"/>
      <c r="L27" s="9"/>
      <c r="M27" s="9"/>
      <c r="N27" s="8"/>
      <c r="O27" s="6"/>
      <c r="P27" s="6"/>
      <c r="Q27" s="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2"/>
      <c r="B28" s="12"/>
      <c r="C28" s="12"/>
      <c r="D28" s="9"/>
      <c r="E28" s="2"/>
      <c r="F28" s="2"/>
      <c r="G28" s="2"/>
      <c r="H28" s="2"/>
      <c r="I28" s="5"/>
      <c r="J28" s="4"/>
      <c r="K28" s="2"/>
      <c r="L28" s="5"/>
      <c r="M28" s="2"/>
      <c r="N28" s="4"/>
      <c r="O28" s="7"/>
      <c r="P28" s="7"/>
      <c r="Q28" s="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2"/>
      <c r="B29" s="12"/>
      <c r="C29" s="1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2"/>
      <c r="B30" s="12"/>
      <c r="C30" s="12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2"/>
      <c r="B31" s="12"/>
      <c r="C31" s="12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2"/>
      <c r="B32" s="12"/>
      <c r="C32" s="12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2"/>
      <c r="B33" s="12"/>
      <c r="C33" s="1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2"/>
      <c r="B34" s="12"/>
      <c r="C34" s="12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2"/>
      <c r="B35" s="12"/>
      <c r="C35" s="12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2"/>
      <c r="B36" s="12"/>
      <c r="C36" s="12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2"/>
      <c r="B37" s="12"/>
      <c r="C37" s="1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2"/>
      <c r="B38" s="12"/>
      <c r="C38" s="12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2"/>
      <c r="B39" s="12"/>
      <c r="C39" s="12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2"/>
      <c r="B40" s="12"/>
      <c r="C40" s="12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2"/>
      <c r="B41" s="12"/>
      <c r="C41" s="1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25:C25"/>
    <mergeCell ref="A21:C21"/>
    <mergeCell ref="A17:C17"/>
    <mergeCell ref="A13:C13"/>
    <mergeCell ref="A9:C9"/>
    <mergeCell ref="A1:C1"/>
    <mergeCell ref="A2:C4"/>
    <mergeCell ref="A41:C41"/>
    <mergeCell ref="A38:C40"/>
    <mergeCell ref="A29:C29"/>
    <mergeCell ref="A33:C33"/>
    <mergeCell ref="A37:C37"/>
    <mergeCell ref="A30:C32"/>
    <mergeCell ref="A34:C36"/>
    <mergeCell ref="A5:C5"/>
    <mergeCell ref="A6:C8"/>
    <mergeCell ref="A10:C12"/>
    <mergeCell ref="A14:C16"/>
    <mergeCell ref="A26:C28"/>
    <mergeCell ref="A22:C24"/>
    <mergeCell ref="A18:C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2026-03-31T05:46:38Z</dcterms:modified>
</cp:coreProperties>
</file>